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b20da2da-73b7-4ee7-9871-481ec391aab6\"/>
    </mc:Choice>
  </mc:AlternateContent>
  <xr:revisionPtr revIDLastSave="0" documentId="8_{302B32E8-7A14-4E42-84FF-8902BF4A373C}" xr6:coauthVersionLast="47" xr6:coauthVersionMax="47" xr10:uidLastSave="{00000000-0000-0000-0000-000000000000}"/>
  <bookViews>
    <workbookView xWindow="-120" yWindow="-120" windowWidth="19440" windowHeight="10440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<sst xmlns="http://schemas.openxmlformats.org/spreadsheetml/2006/main">
  <si>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>Концепция</t>
  </si>
  <si>
    <t>Критерий</t>
  </si>
  <si>
    <t>Высоцкий</t>
  </si>
  <si>
    <t>Митраков</t>
  </si>
  <si>
    <t>Храпов</t>
  </si>
  <si>
    <t>Объединенная оценка</t>
  </si>
  <si>
    <t>Нормализованная оценка</t>
  </si>
  <si>
    <t>Веса</t>
  </si>
  <si>
    <t>Взвешенная оценка</t>
  </si>
  <si>
    <t>А+</t>
  </si>
  <si>
    <t>А-</t>
  </si>
  <si>
    <t>Расстояние до А+</t>
  </si>
  <si>
    <t>Расстояние до А-</t>
  </si>
  <si>
    <t>d ∗ i</t>
  </si>
  <si>
    <t>d - i</t>
  </si>
  <si>
    <t>Коэффициент близости</t>
  </si>
  <si>
    <t>Ранг</t>
  </si>
  <si>
    <t>P</t>
  </si>
  <si>
    <t>O</t>
  </si>
  <si>
    <t>Opt</t>
  </si>
  <si>
    <t>Таск-трекер для малых команд</t>
  </si>
  <si>
    <t>C1</t>
  </si>
  <si>
    <t>C2</t>
  </si>
  <si>
    <t>C3</t>
  </si>
  <si>
    <t>C4</t>
  </si>
  <si>
    <t>Платформа для микро-обучения</t>
  </si>
  <si>
    <t>Сервис для совместного планирования поездок</t>
  </si>
  <si>
    <t>Система мониторинга здоровья растений</t>
  </si>
  <si>
    <t>C1 - Срок реализации</t>
  </si>
  <si>
    <t>Меньше - лучше</t>
  </si>
  <si>
    <t>C2 - Потенциал монетизации</t>
  </si>
  <si>
    <t>Больше - лучше</t>
  </si>
  <si>
    <t>C3 - Сложность технической реализации</t>
  </si>
  <si>
    <t>C4 - Уровень вовлеченности пользователей</t>
  </si>
  <si>
    <t>Оценки критериев</t>
  </si>
  <si>
    <t>Трехточечная оценка</t>
  </si>
  <si>
    <t>Идеальный кандидат</t>
  </si>
  <si>
    <t>Антиидеальный кандидат</t>
  </si>
  <si>
    <t>Пессимистичная</t>
  </si>
  <si>
    <t>(1, 3, 5)</t>
  </si>
  <si>
    <t>(2.15, 4.2, 9)</t>
  </si>
  <si>
    <t>(1.65, 3.29, 9)</t>
  </si>
  <si>
    <t>Ожидаемая</t>
  </si>
  <si>
    <t>(3, 5, 7)</t>
  </si>
  <si>
    <t>(1.29, 3, 7)</t>
  </si>
  <si>
    <t>(0.99, 2.15, 4.2)</t>
  </si>
  <si>
    <t>Оптимистичная</t>
  </si>
  <si>
    <t>(5, 7, 9)</t>
  </si>
  <si>
    <t>(0.14, 0.81, 5)</t>
  </si>
  <si>
    <t>(0.11, 0.54, 1.65)</t>
  </si>
  <si>
    <t>(0.42, 1, 2.31</t>
  </si>
  <si>
    <t>(0.33, 0.9, 2.31)</t>
  </si>
  <si>
    <t>Альтернативы</t>
  </si>
  <si>
    <t>Мария</t>
  </si>
  <si>
    <t>Максим</t>
  </si>
  <si>
    <t>Вячеслав</t>
  </si>
  <si>
    <t>Расстояние до идеального кандидата</t>
  </si>
  <si>
    <t>Расстояние до антиидеального кандидата</t>
  </si>
  <si>
    <t>d − i</t>
  </si>
  <si>
    <t>"CookSmart"</t>
  </si>
  <si>
    <t>(3, 6.33, 9)</t>
  </si>
  <si>
    <t>(0.33, 0.47, 1)</t>
  </si>
  <si>
    <t>(0.43, 0.6, 1)</t>
  </si>
  <si>
    <t>(1.29, 3.0, 7)</t>
  </si>
  <si>
    <t>(0.14, 0.2, 0.33)</t>
  </si>
  <si>
    <t>(0.14, 0.6, 1.65)</t>
  </si>
  <si>
    <t>(0.42, 1.0, 2.31)</t>
  </si>
  <si>
    <t>"MovieNight"</t>
  </si>
  <si>
    <t>(0.33, 0.43, 0.6)</t>
  </si>
  <si>
    <t>(1, 3.66, 7)</t>
  </si>
  <si>
    <t>(0.14, 0.27, 1)</t>
  </si>
  <si>
    <t>(3, 5.66, 9)</t>
  </si>
  <si>
    <t>(0.11, 0.18, 0.33)</t>
  </si>
  <si>
    <t>"GiftIdeas"</t>
  </si>
  <si>
    <t>(0.33, 0.53, 1)</t>
  </si>
  <si>
    <t>(0.99, 2.65, 7)</t>
  </si>
  <si>
    <t>"IdeaVault"</t>
  </si>
  <si>
    <t>(0.11, 0.16, 0.33)</t>
  </si>
  <si>
    <t>(0.11, 0.48, 1.65)</t>
  </si>
  <si>
    <t>(0.2, 0.33, 1)</t>
  </si>
  <si>
    <t>(0.6, 1.65, 7)</t>
  </si>
  <si>
    <t>Оценка критериев</t>
  </si>
  <si>
    <t>#2</t>
  </si>
  <si>
    <t>#3</t>
  </si>
  <si>
    <t>Трехточесная оценка критериев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</si>
</sst>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  <charset val="204"/>
    </font>
    <font>
      <sz val="10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sz val="9"/>
      <name val="Segoe UI"/>
      <color rgb="FF000000"/>
    </font>
    <font>
      <sz val="9"/>
      <name val="Segoe UI"/>
      <color rgb="FF000000"/>
      <charset val="1"/>
      <family val="2"/>
    </font>
    <font>
      <sz val="9"/>
      <name val="Arial"/>
      <color rgb="FF000000"/>
      <charset val="1"/>
      <family val="2"/>
    </font>
  </fonts>
  <fills count="13">
    <fill>
      <patternFill patternType="none"/>
    </fill>
    <fill>
      <patternFill patternType="gray125"/>
    </fill>
    <fill>
      <patternFill patternType="solid">
        <fgColor indexed="40"/>
        <bgColor indexed="21"/>
      </patternFill>
    </fill>
    <fill>
      <patternFill patternType="solid">
        <fgColor indexed="44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9"/>
        <bgColor indexed="1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31"/>
      </patternFill>
    </fill>
    <fill>
      <patternFill patternType="solid">
        <fgColor indexed="45"/>
        <bgColor indexed="2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00AEA7"/>
      </patternFill>
    </fill>
    <fill>
      <patternFill patternType="solid">
        <fgColor rgb="FF9AF1ED"/>
      </patternFill>
    </fill>
  </fills>
  <borders count="74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indexed="8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rgb="FF000000"/>
      </left>
      <right style="thick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87">
    <xf numFmtId="0" fontId="0" fillId="0" borderId="0" xfId="0"/>
    <xf numFmtId="0" fontId="1" fillId="0" borderId="0" xfId="1"/>
    <xf numFmtId="0" fontId="2" fillId="4" borderId="0" xfId="1" applyFont="1" applyFill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6" borderId="10" xfId="1" applyFont="1" applyFill="1" applyBorder="1" applyAlignment="1"/>
    <xf numFmtId="0" fontId="3" fillId="0" borderId="11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4" fontId="3" fillId="0" borderId="12" xfId="1" applyNumberFormat="1" applyFont="1" applyBorder="1" applyAlignment="1">
      <alignment horizontal="center"/>
    </xf>
    <xf numFmtId="4" fontId="3" fillId="0" borderId="11" xfId="1" applyNumberFormat="1" applyFont="1" applyBorder="1" applyAlignment="1">
      <alignment horizontal="center"/>
    </xf>
    <xf numFmtId="4" fontId="3" fillId="0" borderId="10" xfId="1" applyNumberFormat="1" applyFont="1" applyBorder="1" applyAlignment="1">
      <alignment horizontal="center"/>
    </xf>
    <xf numFmtId="4" fontId="3" fillId="0" borderId="0" xfId="1" applyNumberFormat="1" applyFont="1" applyAlignment="1">
      <alignment horizontal="center" vertical="center"/>
    </xf>
    <xf numFmtId="0" fontId="2" fillId="6" borderId="14" xfId="1" applyFont="1" applyFill="1" applyBorder="1" applyAlignment="1"/>
    <xf numFmtId="0" fontId="3" fillId="0" borderId="15" xfId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4" fontId="3" fillId="0" borderId="16" xfId="1" applyNumberFormat="1" applyFont="1" applyBorder="1" applyAlignment="1">
      <alignment horizontal="center"/>
    </xf>
    <xf numFmtId="4" fontId="3" fillId="0" borderId="15" xfId="1" applyNumberFormat="1" applyFont="1" applyBorder="1" applyAlignment="1">
      <alignment horizontal="center"/>
    </xf>
    <xf numFmtId="4" fontId="3" fillId="0" borderId="14" xfId="1" applyNumberFormat="1" applyFont="1" applyBorder="1" applyAlignment="1">
      <alignment horizontal="center"/>
    </xf>
    <xf numFmtId="0" fontId="2" fillId="6" borderId="18" xfId="1" applyFont="1" applyFill="1" applyBorder="1" applyAlignment="1"/>
    <xf numFmtId="0" fontId="3" fillId="0" borderId="19" xfId="1" applyFont="1" applyBorder="1" applyAlignment="1">
      <alignment horizontal="center"/>
    </xf>
    <xf numFmtId="0" fontId="3" fillId="0" borderId="20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4" fontId="3" fillId="0" borderId="20" xfId="1" applyNumberFormat="1" applyFont="1" applyBorder="1" applyAlignment="1">
      <alignment horizontal="center"/>
    </xf>
    <xf numFmtId="4" fontId="3" fillId="0" borderId="19" xfId="1" applyNumberFormat="1" applyFont="1" applyBorder="1" applyAlignment="1">
      <alignment horizontal="center"/>
    </xf>
    <xf numFmtId="4" fontId="3" fillId="0" borderId="18" xfId="1" applyNumberFormat="1" applyFont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0" borderId="23" xfId="1" applyFont="1" applyBorder="1" applyAlignment="1">
      <alignment horizontal="center"/>
    </xf>
    <xf numFmtId="0" fontId="3" fillId="0" borderId="24" xfId="1" applyFont="1" applyBorder="1" applyAlignment="1">
      <alignment horizontal="center"/>
    </xf>
    <xf numFmtId="0" fontId="3" fillId="0" borderId="25" xfId="1" applyFont="1" applyBorder="1" applyAlignment="1">
      <alignment horizontal="center"/>
    </xf>
    <xf numFmtId="0" fontId="3" fillId="0" borderId="26" xfId="1" applyFont="1" applyBorder="1" applyAlignment="1">
      <alignment horizontal="center"/>
    </xf>
    <xf numFmtId="0" fontId="3" fillId="0" borderId="27" xfId="1" applyFont="1" applyBorder="1" applyAlignment="1">
      <alignment horizontal="center"/>
    </xf>
    <xf numFmtId="0" fontId="2" fillId="6" borderId="24" xfId="1" applyFont="1" applyFill="1" applyBorder="1" applyAlignment="1"/>
    <xf numFmtId="4" fontId="3" fillId="0" borderId="23" xfId="1" applyNumberFormat="1" applyFont="1" applyBorder="1" applyAlignment="1">
      <alignment horizontal="center"/>
    </xf>
    <xf numFmtId="4" fontId="3" fillId="0" borderId="22" xfId="1" applyNumberFormat="1" applyFont="1" applyBorder="1" applyAlignment="1">
      <alignment horizontal="center"/>
    </xf>
    <xf numFmtId="4" fontId="3" fillId="0" borderId="24" xfId="1" applyNumberFormat="1" applyFont="1" applyBorder="1" applyAlignment="1">
      <alignment horizontal="center"/>
    </xf>
    <xf numFmtId="0" fontId="2" fillId="6" borderId="16" xfId="1" applyFont="1" applyFill="1" applyBorder="1" applyAlignment="1"/>
    <xf numFmtId="0" fontId="2" fillId="7" borderId="16" xfId="1" applyFont="1" applyFill="1" applyBorder="1" applyAlignment="1"/>
    <xf numFmtId="0" fontId="3" fillId="0" borderId="16" xfId="1" applyFont="1" applyBorder="1" applyAlignment="1"/>
    <xf numFmtId="0" fontId="3" fillId="7" borderId="16" xfId="1" applyFont="1" applyFill="1" applyBorder="1" applyAlignment="1"/>
    <xf numFmtId="0" fontId="2" fillId="8" borderId="16" xfId="1" applyFont="1" applyFill="1" applyBorder="1" applyAlignment="1"/>
    <xf numFmtId="0" fontId="2" fillId="8" borderId="0" xfId="1" applyFont="1" applyFill="1" applyAlignment="1"/>
    <xf numFmtId="0" fontId="2" fillId="7" borderId="0" xfId="1" applyFont="1" applyFill="1" applyAlignment="1"/>
    <xf numFmtId="0" fontId="1" fillId="4" borderId="16" xfId="1" applyFont="1" applyFill="1" applyBorder="1" applyAlignment="1"/>
    <xf numFmtId="0" fontId="3" fillId="4" borderId="0" xfId="1" applyFont="1" applyFill="1"/>
    <xf numFmtId="0" fontId="3" fillId="4" borderId="0" xfId="1" applyFont="1" applyFill="1" applyAlignment="1"/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/>
    </xf>
    <xf numFmtId="4" fontId="3" fillId="0" borderId="5" xfId="1" applyNumberFormat="1" applyFont="1" applyBorder="1" applyAlignment="1">
      <alignment horizontal="center" vertical="center"/>
    </xf>
    <xf numFmtId="4" fontId="3" fillId="0" borderId="2" xfId="1" applyNumberFormat="1" applyFont="1" applyBorder="1" applyAlignment="1">
      <alignment horizontal="center" vertical="center"/>
    </xf>
    <xf numFmtId="4" fontId="3" fillId="0" borderId="13" xfId="1" applyNumberFormat="1" applyFont="1" applyBorder="1" applyAlignment="1">
      <alignment horizontal="center"/>
    </xf>
    <xf numFmtId="1" fontId="2" fillId="0" borderId="4" xfId="1" applyNumberFormat="1" applyFont="1" applyBorder="1" applyAlignment="1">
      <alignment horizontal="center" vertical="center"/>
    </xf>
    <xf numFmtId="4" fontId="3" fillId="0" borderId="17" xfId="1" applyNumberFormat="1" applyFont="1" applyBorder="1" applyAlignment="1">
      <alignment horizontal="center"/>
    </xf>
    <xf numFmtId="4" fontId="3" fillId="0" borderId="21" xfId="1" applyNumberFormat="1" applyFont="1" applyBorder="1" applyAlignment="1">
      <alignment horizontal="center"/>
    </xf>
    <xf numFmtId="0" fontId="2" fillId="5" borderId="6" xfId="1" applyFont="1" applyFill="1" applyBorder="1" applyAlignment="1">
      <alignment horizontal="center" vertical="center"/>
    </xf>
    <xf numFmtId="4" fontId="3" fillId="0" borderId="6" xfId="1" applyNumberFormat="1" applyFont="1" applyBorder="1" applyAlignment="1">
      <alignment horizontal="center" vertical="center"/>
    </xf>
    <xf numFmtId="4" fontId="3" fillId="0" borderId="7" xfId="1" applyNumberFormat="1" applyFont="1" applyBorder="1" applyAlignment="1">
      <alignment horizontal="center" vertical="center"/>
    </xf>
    <xf numFmtId="4" fontId="3" fillId="0" borderId="8" xfId="1" applyNumberFormat="1" applyFont="1" applyBorder="1" applyAlignment="1">
      <alignment horizontal="center" vertical="center"/>
    </xf>
    <xf numFmtId="4" fontId="3" fillId="0" borderId="28" xfId="1" applyNumberFormat="1" applyFont="1" applyBorder="1" applyAlignment="1">
      <alignment horizontal="center"/>
    </xf>
    <xf numFmtId="1" fontId="2" fillId="0" borderId="29" xfId="1" applyNumberFormat="1" applyFont="1" applyBorder="1" applyAlignment="1">
      <alignment horizontal="center" vertical="center"/>
    </xf>
    <xf numFmtId="0" fontId="1" fillId="0" borderId="0" xfId="1" applyBorder="1"/>
    <xf numFmtId="0" fontId="3" fillId="7" borderId="16" xfId="1" applyFont="1" applyFill="1" applyBorder="1" applyAlignment="1">
      <alignment horizontal="center" vertical="center"/>
    </xf>
    <xf numFmtId="4" fontId="1" fillId="4" borderId="16" xfId="1" applyNumberFormat="1" applyFont="1" applyFill="1" applyBorder="1" applyAlignment="1"/>
    <xf numFmtId="4" fontId="3" fillId="0" borderId="16" xfId="1" applyNumberFormat="1" applyFont="1" applyBorder="1"/>
    <xf numFmtId="0" fontId="2" fillId="0" borderId="16" xfId="1" applyFont="1" applyBorder="1" applyAlignment="1">
      <alignment horizontal="center" vertical="center"/>
    </xf>
    <xf numFmtId="0" fontId="3" fillId="4" borderId="0" xfId="1" applyFont="1" applyFill="1" applyBorder="1" applyAlignment="1"/>
    <xf numFmtId="0" applyNumberFormat="1" fontId="5" applyFont="1" fillId="9" applyFill="1" applyAlignment="1" xfId="0">
      <alignment vertical="top" horizontal="center"/>
    </xf>
    <xf numFmtId="0" applyNumberFormat="1" fontId="1" applyFont="1" fillId="9" applyFill="1" xfId="0"/>
    <xf numFmtId="0" applyNumberFormat="1" fontId="5" applyFont="1" fillId="9" applyFill="1" borderId="30" applyBorder="1" applyAlignment="1" xfId="0">
      <alignment vertical="top" horizontal="center"/>
    </xf>
    <xf numFmtId="0" applyNumberFormat="1" fontId="1" applyFont="1" fillId="9" applyFill="1" borderId="31" applyBorder="1" xfId="0"/>
    <xf numFmtId="0" applyNumberFormat="1" fontId="5" applyFont="1" fillId="9" applyFill="1" borderId="32" applyBorder="1" applyAlignment="1" xfId="0">
      <alignment vertical="top" horizontal="center"/>
    </xf>
    <xf numFmtId="0" applyNumberFormat="1" fontId="1" applyFont="1" fillId="9" applyFill="1" borderId="33" applyBorder="1" xfId="0"/>
    <xf numFmtId="0" applyNumberFormat="1" fontId="5" applyFont="1" fillId="9" applyFill="1" borderId="34" applyBorder="1" applyAlignment="1" xfId="0">
      <alignment vertical="top" horizontal="center"/>
    </xf>
    <xf numFmtId="0" applyNumberFormat="1" fontId="1" applyFont="1" fillId="9" applyFill="1" borderId="35" applyBorder="1" xfId="0"/>
    <xf numFmtId="0" applyNumberFormat="1" fontId="5" applyFont="1" fillId="9" applyFill="1" borderId="36" applyBorder="1" applyAlignment="1" xfId="0">
      <alignment vertical="top" horizontal="center"/>
    </xf>
    <xf numFmtId="0" applyNumberFormat="1" fontId="1" applyFont="1" fillId="9" applyFill="1" borderId="36" applyBorder="1" xfId="0"/>
    <xf numFmtId="0" applyNumberFormat="1" fontId="1" applyFont="1" fillId="0" applyFill="1" borderId="31" applyBorder="1" xfId="0"/>
    <xf numFmtId="0" applyNumberFormat="1" fontId="1" applyFont="1" fillId="0" applyFill="1" borderId="33" applyBorder="1" xfId="0"/>
    <xf numFmtId="0" applyNumberFormat="1" fontId="1" applyFont="1" fillId="0" applyFill="1" borderId="35" applyBorder="1" xfId="0"/>
    <xf numFmtId="0" applyNumberFormat="1" fontId="1" applyFont="1" fillId="0" applyFill="1" borderId="36" applyBorder="1" xfId="0"/>
    <xf numFmtId="0" applyNumberFormat="1" fontId="5" applyFont="1" fillId="10" applyFill="1" applyAlignment="1" xfId="0">
      <alignment vertical="top" horizontal="right"/>
    </xf>
    <xf numFmtId="0" applyNumberFormat="1" fontId="5" applyFont="1" fillId="0" applyFill="1" applyAlignment="1" xfId="0">
      <alignment vertical="top" horizontal="right"/>
    </xf>
    <xf numFmtId="0" applyNumberFormat="1" fontId="5" applyFont="1" fillId="9" applyFill="1" borderId="35" applyBorder="1" applyAlignment="1" xfId="0">
      <alignment vertical="top" horizontal="center"/>
    </xf>
    <xf numFmtId="0" applyNumberFormat="1" fontId="5" applyFont="1" fillId="9" applyFill="1" borderId="33" applyBorder="1" applyAlignment="1" xfId="0">
      <alignment vertical="top" horizontal="center"/>
    </xf>
    <xf numFmtId="0" applyNumberFormat="1" fontId="5" applyFont="1" fillId="9" applyFill="1" borderId="37" applyBorder="1" applyAlignment="1" xfId="0">
      <alignment vertical="top" horizontal="center"/>
    </xf>
    <xf numFmtId="0" applyNumberFormat="1" fontId="2" applyFont="1" fillId="2" applyFill="1" borderId="38" applyBorder="1" applyAlignment="1" xfId="0">
      <alignment vertical="center" horizontal="center"/>
    </xf>
    <xf numFmtId="0" applyNumberFormat="1" fontId="2" applyFont="1" fillId="2" applyFill="1" borderId="39" applyBorder="1" applyAlignment="1" xfId="0">
      <alignment vertical="center" horizontal="center"/>
    </xf>
    <xf numFmtId="0" applyNumberFormat="1" fontId="2" applyFont="1" fillId="2" applyFill="1" borderId="40" applyBorder="1" applyAlignment="1" xfId="0">
      <alignment vertical="center" horizontal="center"/>
    </xf>
    <xf numFmtId="0" applyNumberFormat="1" fontId="2" applyFont="1" fillId="2" applyFill="1" borderId="41" applyBorder="1" applyAlignment="1" xfId="0">
      <alignment vertical="center" horizontal="center"/>
    </xf>
    <xf numFmtId="0" applyNumberFormat="1" fontId="2" applyFont="1" fillId="5" applyFill="1" borderId="39" applyBorder="1" applyAlignment="1" xfId="0">
      <alignment vertical="center" horizontal="center"/>
    </xf>
    <xf numFmtId="0" applyNumberFormat="1" fontId="2" applyFont="1" fillId="5" applyFill="1" borderId="40" applyBorder="1" applyAlignment="1" xfId="0">
      <alignment vertical="center" horizontal="center"/>
    </xf>
    <xf numFmtId="0" applyNumberFormat="1" fontId="2" applyFont="1" fillId="5" applyFill="1" borderId="41" applyBorder="1" applyAlignment="1" xfId="0">
      <alignment vertical="center" horizontal="center"/>
    </xf>
    <xf numFmtId="0" applyNumberFormat="1" fontId="2" applyFont="1" fillId="5" applyFill="1" borderId="42" applyBorder="1" applyAlignment="1" xfId="0">
      <alignment vertical="center" horizontal="center"/>
    </xf>
    <xf numFmtId="0" applyNumberFormat="1" fontId="2" applyFont="1" fillId="5" applyFill="1" borderId="43" applyBorder="1" applyAlignment="1" xfId="0">
      <alignment vertical="center" horizontal="center"/>
    </xf>
    <xf numFmtId="0" applyNumberFormat="1" fontId="2" applyFont="1" fillId="5" applyFill="1" borderId="44" applyBorder="1" applyAlignment="1" xfId="0">
      <alignment vertical="center" horizontal="center"/>
    </xf>
    <xf numFmtId="0" applyNumberFormat="1" fontId="2" applyFont="1" fillId="6" applyFill="1" borderId="45" applyBorder="1" applyAlignment="1" xfId="0">
      <alignment horizontal="center"/>
    </xf>
    <xf numFmtId="0" applyNumberFormat="1" fontId="2" applyFont="1" fillId="5" applyFill="1" borderId="46" applyBorder="1" applyAlignment="1" xfId="0">
      <alignment vertical="center" horizontal="center"/>
    </xf>
    <xf numFmtId="0" applyNumberFormat="1" fontId="2" applyFont="1" fillId="5" applyFill="1" borderId="47" applyBorder="1" applyAlignment="1" xfId="0">
      <alignment vertical="center" horizontal="center"/>
    </xf>
    <xf numFmtId="0" applyNumberFormat="1" fontId="2" applyFont="1" fillId="5" applyFill="1" borderId="48" applyBorder="1" applyAlignment="1" xfId="0">
      <alignment vertical="center" horizontal="center"/>
    </xf>
    <xf numFmtId="0" applyNumberFormat="1" fontId="2" applyFont="1" fillId="5" applyFill="1" borderId="49" applyBorder="1" applyAlignment="1" xfId="0">
      <alignment vertical="center" horizontal="center"/>
    </xf>
    <xf numFmtId="0" applyNumberFormat="1" fontId="2" applyFont="1" fillId="2" applyFill="1" borderId="50" applyBorder="1" applyAlignment="1" xfId="0">
      <alignment vertical="center" horizontal="center"/>
    </xf>
    <xf numFmtId="0" applyNumberFormat="1" fontId="2" applyFont="1" fillId="2" applyFill="1" borderId="47" applyBorder="1" applyAlignment="1" xfId="0">
      <alignment vertical="center" horizontal="center"/>
    </xf>
    <xf numFmtId="0" applyNumberFormat="1" fontId="2" applyFont="1" fillId="2" applyFill="1" borderId="46" applyBorder="1" applyAlignment="1" xfId="0">
      <alignment vertical="center" horizontal="center"/>
    </xf>
    <xf numFmtId="0" applyNumberFormat="1" fontId="2" applyFont="1" fillId="6" applyFill="1" borderId="51" applyBorder="1" applyAlignment="1" xfId="0">
      <alignment horizontal="center"/>
    </xf>
    <xf numFmtId="0" applyNumberFormat="1" fontId="2" applyFont="1" fillId="6" applyFill="1" borderId="52" applyBorder="1" applyAlignment="1" xfId="0">
      <alignment horizontal="center"/>
    </xf>
    <xf numFmtId="0" applyNumberFormat="1" fontId="2" applyFont="1" fillId="6" applyFill="1" borderId="53" applyBorder="1" applyAlignment="1" xfId="0">
      <alignment horizontal="center"/>
    </xf>
    <xf numFmtId="0" applyNumberFormat="1" fontId="2" applyFont="1" fillId="6" applyFill="1" borderId="54" applyBorder="1" applyAlignment="1" xfId="0">
      <alignment horizontal="center"/>
    </xf>
    <xf numFmtId="0" applyNumberFormat="1" fontId="5" applyFont="1" fillId="11" applyFill="1" borderId="37" applyBorder="1" applyAlignment="1" xfId="0">
      <alignment vertical="top" horizontal="center"/>
    </xf>
    <xf numFmtId="0" applyNumberFormat="1" fontId="5" applyFont="1" fillId="11" applyFill="1" applyAlignment="1" xfId="0">
      <alignment vertical="top" horizontal="center"/>
    </xf>
    <xf numFmtId="0" applyNumberFormat="1" fontId="5" applyFont="1" fillId="12" applyFill="1" applyAlignment="1" xfId="0">
      <alignment vertical="top" horizontal="center"/>
    </xf>
    <xf numFmtId="0" applyNumberFormat="1" fontId="5" applyFont="1" fillId="11" applyFill="1" borderId="55" applyBorder="1" applyAlignment="1" xfId="0">
      <alignment vertical="top" horizontal="center"/>
    </xf>
    <xf numFmtId="0" applyNumberFormat="1" fontId="5" applyFont="1" fillId="11" applyFill="1" borderId="56" applyBorder="1" applyAlignment="1" xfId="0">
      <alignment vertical="top" horizontal="center"/>
    </xf>
    <xf numFmtId="0" applyNumberFormat="1" fontId="5" applyFont="1" fillId="11" applyFill="1" borderId="57" applyBorder="1" applyAlignment="1" xfId="0">
      <alignment vertical="top" horizontal="center"/>
    </xf>
    <xf numFmtId="0" applyNumberFormat="1" fontId="5" applyFont="1" fillId="12" applyFill="1" borderId="58" applyBorder="1" applyAlignment="1" xfId="0">
      <alignment vertical="top" horizontal="center"/>
    </xf>
    <xf numFmtId="0" applyNumberFormat="1" fontId="5" applyFont="1" fillId="0" applyFill="1" borderId="48" applyBorder="1" applyAlignment="1" xfId="0">
      <alignment vertical="top" horizontal="right"/>
    </xf>
    <xf numFmtId="0" applyNumberFormat="1" fontId="5" applyFont="1" fillId="12" applyFill="1" borderId="59" applyBorder="1" applyAlignment="1" xfId="0">
      <alignment vertical="top" horizontal="center"/>
    </xf>
    <xf numFmtId="0" applyNumberFormat="1" fontId="5" applyFont="1" fillId="10" applyFill="1" borderId="60" applyBorder="1" applyAlignment="1" xfId="0">
      <alignment vertical="top" horizontal="right"/>
    </xf>
    <xf numFmtId="0" applyNumberFormat="1" fontId="5" applyFont="1" fillId="0" applyFill="1" borderId="49" applyBorder="1" applyAlignment="1" xfId="0">
      <alignment vertical="top" horizontal="right"/>
    </xf>
    <xf numFmtId="0" applyNumberFormat="1" fontId="5" applyFont="1" fillId="10" applyFill="1" borderId="45" applyBorder="1" applyAlignment="1" xfId="0">
      <alignment vertical="top" horizontal="right"/>
    </xf>
    <xf numFmtId="0" applyNumberFormat="1" fontId="5" applyFont="1" fillId="0" applyFill="1" borderId="45" applyBorder="1" applyAlignment="1" xfId="0">
      <alignment vertical="top" horizontal="right"/>
    </xf>
    <xf numFmtId="0" applyNumberFormat="1" fontId="5" applyFont="1" fillId="12" applyFill="1" borderId="61" applyBorder="1" applyAlignment="1" xfId="0">
      <alignment vertical="top" horizontal="center"/>
    </xf>
    <xf numFmtId="0" applyNumberFormat="1" fontId="5" applyFont="1" fillId="12" applyFill="1" borderId="62" applyBorder="1" applyAlignment="1" xfId="0">
      <alignment vertical="top" horizontal="center"/>
    </xf>
    <xf numFmtId="0" applyNumberFormat="1" fontId="5" applyFont="1" fillId="12" applyFill="1" borderId="63" applyBorder="1" applyAlignment="1" xfId="0">
      <alignment vertical="top" horizontal="center"/>
    </xf>
    <xf numFmtId="0" applyNumberFormat="1" fontId="5" applyFont="1" fillId="12" applyFill="1" borderId="64" applyBorder="1" applyAlignment="1" xfId="0">
      <alignment vertical="top" horizontal="center"/>
    </xf>
    <xf numFmtId="0" applyNumberFormat="1" fontId="5" applyFont="1" fillId="12" applyFill="1" borderId="45" applyBorder="1" applyAlignment="1" xfId="0">
      <alignment vertical="top" horizontal="center"/>
    </xf>
    <xf numFmtId="0" applyNumberFormat="1" fontId="5" applyFont="1" fillId="12" applyFill="1" borderId="65" applyBorder="1" applyAlignment="1" xfId="0">
      <alignment vertical="top" horizontal="center"/>
    </xf>
    <xf numFmtId="0" applyNumberFormat="1" fontId="5" applyFont="1" fillId="12" applyFill="1" borderId="66" applyBorder="1" applyAlignment="1" xfId="0">
      <alignment vertical="top" horizontal="center"/>
    </xf>
    <xf numFmtId="0" applyNumberFormat="1" fontId="5" applyFont="1" fillId="12" applyFill="1" borderId="67" applyBorder="1" applyAlignment="1" xfId="0">
      <alignment vertical="top" horizontal="center"/>
    </xf>
    <xf numFmtId="0" applyNumberFormat="1" fontId="5" applyFont="1" fillId="12" applyFill="1" borderId="68" applyBorder="1" applyAlignment="1" xfId="0">
      <alignment vertical="top" horizontal="center"/>
    </xf>
    <xf numFmtId="0" applyNumberFormat="1" fontId="5" applyFont="1" fillId="0" applyFill="1" borderId="52" applyBorder="1" applyAlignment="1" xfId="0">
      <alignment vertical="top" horizontal="right"/>
    </xf>
    <xf numFmtId="0" applyNumberFormat="1" fontId="5" applyFont="1" fillId="10" applyFill="1" borderId="69" applyBorder="1" applyAlignment="1" xfId="0">
      <alignment vertical="top" horizontal="right"/>
    </xf>
    <xf numFmtId="0" applyNumberFormat="1" fontId="5" applyFont="1" fillId="0" applyFill="1" borderId="53" applyBorder="1" applyAlignment="1" xfId="0">
      <alignment vertical="top" horizontal="right"/>
    </xf>
    <xf numFmtId="0" applyNumberFormat="1" fontId="6" applyFont="1" fillId="11" applyFill="1" borderId="55" applyBorder="1" applyAlignment="1" xfId="0">
      <alignment vertical="top" horizontal="center"/>
    </xf>
    <xf numFmtId="0" applyNumberFormat="1" fontId="6" applyFont="1" fillId="11" applyFill="1" borderId="56" applyBorder="1" applyAlignment="1" xfId="0">
      <alignment vertical="top" horizontal="center"/>
    </xf>
    <xf numFmtId="0" applyNumberFormat="1" fontId="6" applyFont="1" fillId="11" applyFill="1" borderId="57" applyBorder="1" applyAlignment="1" xfId="0">
      <alignment vertical="top" horizontal="center"/>
    </xf>
    <xf numFmtId="0" applyNumberFormat="1" fontId="6" applyFont="1" fillId="12" applyFill="1" borderId="66" applyBorder="1" applyAlignment="1" xfId="0">
      <alignment vertical="top" horizontal="center"/>
    </xf>
    <xf numFmtId="0" applyNumberFormat="1" fontId="6" applyFont="1" fillId="10" applyFill="1" borderId="45" applyBorder="1" applyAlignment="1" xfId="0">
      <alignment vertical="top" horizontal="right"/>
    </xf>
    <xf numFmtId="0" applyNumberFormat="1" fontId="6" applyFont="1" fillId="0" applyFill="1" borderId="52" applyBorder="1" applyAlignment="1" xfId="0">
      <alignment vertical="top" horizontal="right"/>
    </xf>
    <xf numFmtId="0" applyNumberFormat="1" fontId="6" applyFont="1" fillId="12" applyFill="1" borderId="68" applyBorder="1" applyAlignment="1" xfId="0">
      <alignment vertical="top" horizontal="center"/>
    </xf>
    <xf numFmtId="0" applyNumberFormat="1" fontId="6" applyFont="1" fillId="12" applyFill="1" borderId="64" applyBorder="1" applyAlignment="1" xfId="0">
      <alignment vertical="top" horizontal="center"/>
    </xf>
    <xf numFmtId="0" applyNumberFormat="1" fontId="6" applyFont="1" fillId="10" applyFill="1" borderId="69" applyBorder="1" applyAlignment="1" xfId="0">
      <alignment vertical="top" horizontal="right"/>
    </xf>
    <xf numFmtId="0" applyNumberFormat="1" fontId="6" applyFont="1" fillId="0" applyFill="1" borderId="53" applyBorder="1" applyAlignment="1" xfId="0">
      <alignment vertical="top" horizontal="right"/>
    </xf>
    <xf numFmtId="0" applyNumberFormat="1" fontId="3" applyFont="1" fillId="11" applyFill="1" borderId="55" applyBorder="1" applyAlignment="1" xfId="0">
      <alignment vertical="top" horizontal="center"/>
    </xf>
    <xf numFmtId="0" applyNumberFormat="1" fontId="3" applyFont="1" fillId="11" applyFill="1" borderId="56" applyBorder="1" applyAlignment="1" xfId="0">
      <alignment vertical="top" horizontal="center"/>
    </xf>
    <xf numFmtId="0" applyNumberFormat="1" fontId="3" applyFont="1" fillId="11" applyFill="1" borderId="57" applyBorder="1" applyAlignment="1" xfId="0">
      <alignment vertical="top" horizontal="center"/>
    </xf>
    <xf numFmtId="0" applyNumberFormat="1" fontId="3" applyFont="1" fillId="12" applyFill="1" borderId="66" applyBorder="1" applyAlignment="1" xfId="0">
      <alignment vertical="top" horizontal="center"/>
    </xf>
    <xf numFmtId="0" applyNumberFormat="1" fontId="3" applyFont="1" fillId="10" applyFill="1" borderId="45" applyBorder="1" applyAlignment="1" xfId="0">
      <alignment vertical="top" horizontal="right"/>
    </xf>
    <xf numFmtId="0" applyNumberFormat="1" fontId="3" applyFont="1" fillId="0" applyFill="1" borderId="52" applyBorder="1" applyAlignment="1" xfId="0">
      <alignment vertical="top" horizontal="right"/>
    </xf>
    <xf numFmtId="0" applyNumberFormat="1" fontId="3" applyFont="1" fillId="12" applyFill="1" borderId="68" applyBorder="1" applyAlignment="1" xfId="0">
      <alignment vertical="top" horizontal="center"/>
    </xf>
    <xf numFmtId="0" applyNumberFormat="1" fontId="3" applyFont="1" fillId="12" applyFill="1" borderId="64" applyBorder="1" applyAlignment="1" xfId="0">
      <alignment vertical="top" horizontal="center"/>
    </xf>
    <xf numFmtId="0" applyNumberFormat="1" fontId="3" applyFont="1" fillId="10" applyFill="1" borderId="69" applyBorder="1" applyAlignment="1" xfId="0">
      <alignment vertical="top" horizontal="right"/>
    </xf>
    <xf numFmtId="0" applyNumberFormat="1" fontId="3" applyFont="1" fillId="0" applyFill="1" borderId="53" applyBorder="1" applyAlignment="1" xfId="0">
      <alignment vertical="top" horizontal="right"/>
    </xf>
    <xf numFmtId="0" applyNumberFormat="1" fontId="2" applyFont="1" fillId="11" applyFill="1" borderId="55" applyBorder="1" applyAlignment="1" xfId="0">
      <alignment vertical="top" horizontal="center"/>
    </xf>
    <xf numFmtId="0" applyNumberFormat="1" fontId="2" applyFont="1" fillId="11" applyFill="1" borderId="56" applyBorder="1" applyAlignment="1" xfId="0">
      <alignment vertical="top" horizontal="center"/>
    </xf>
    <xf numFmtId="0" applyNumberFormat="1" fontId="2" applyFont="1" fillId="11" applyFill="1" borderId="57" applyBorder="1" applyAlignment="1" xfId="0">
      <alignment vertical="top" horizontal="center"/>
    </xf>
    <xf numFmtId="0" applyNumberFormat="1" fontId="2" applyFont="1" fillId="12" applyFill="1" borderId="66" applyBorder="1" applyAlignment="1" xfId="0">
      <alignment vertical="top" horizontal="center"/>
    </xf>
    <xf numFmtId="0" applyNumberFormat="1" fontId="2" applyFont="1" fillId="12" applyFill="1" borderId="68" applyBorder="1" applyAlignment="1" xfId="0">
      <alignment vertical="top" horizontal="center"/>
    </xf>
    <xf numFmtId="0" applyNumberFormat="1" fontId="2" applyFont="1" fillId="12" applyFill="1" borderId="64" applyBorder="1" applyAlignment="1" xfId="0">
      <alignment vertical="top" horizontal="center"/>
    </xf>
    <xf numFmtId="0" applyNumberFormat="1" fontId="3" applyFont="1" fillId="10" applyFill="1" borderId="65" applyBorder="1" applyAlignment="1" xfId="0">
      <alignment vertical="top" horizontal="right"/>
    </xf>
    <xf numFmtId="0" applyNumberFormat="1" fontId="3" applyFont="1" fillId="10" applyFill="1" borderId="70" applyBorder="1" applyAlignment="1" xfId="0">
      <alignment vertical="top" horizontal="right"/>
    </xf>
    <xf numFmtId="0" applyNumberFormat="1" fontId="3" applyFont="1" fillId="0" applyFill="1" borderId="51" applyBorder="1" applyAlignment="1" xfId="0">
      <alignment vertical="top" horizontal="right"/>
    </xf>
    <xf numFmtId="0" applyNumberFormat="1" fontId="3" applyFont="1" fillId="10" applyFill="1" borderId="67" applyBorder="1" applyAlignment="1" xfId="0">
      <alignment vertical="top" horizontal="right"/>
    </xf>
    <xf numFmtId="0" applyNumberFormat="1" fontId="3" applyFont="1" fillId="10" applyFill="1" borderId="71" applyBorder="1" applyAlignment="1" xfId="0">
      <alignment vertical="top" horizontal="right"/>
    </xf>
    <xf numFmtId="0" applyNumberFormat="1" fontId="2" applyFont="1" fillId="6" applyFill="1" borderId="66" applyBorder="1" applyAlignment="1" xfId="0">
      <alignment horizontal="center"/>
    </xf>
    <xf numFmtId="0" applyNumberFormat="1" fontId="2" applyFont="1" fillId="6" applyFill="1" borderId="68" applyBorder="1" applyAlignment="1" xfId="0">
      <alignment horizontal="center"/>
    </xf>
    <xf numFmtId="0" applyNumberFormat="1" fontId="2" applyFont="1" fillId="6" applyFill="1" borderId="72" applyBorder="1" applyAlignment="1" xfId="0">
      <alignment horizontal="center"/>
    </xf>
    <xf numFmtId="0" applyNumberFormat="1" fontId="2" applyFont="1" fillId="6" applyFill="1" borderId="73" applyBorder="1" applyAlignment="1" xfId="0">
      <alignment horizontal="center"/>
    </xf>
    <xf numFmtId="0" applyNumberFormat="1" fontId="2" applyFont="1" fillId="6" applyFill="1" borderId="65" applyBorder="1" applyAlignment="1" xfId="0">
      <alignment horizontal="center"/>
    </xf>
    <xf numFmtId="0" applyNumberFormat="1" fontId="2" applyFont="1" fillId="6" applyFill="1" borderId="70" applyBorder="1" applyAlignment="1" xfId="0">
      <alignment horizontal="center"/>
    </xf>
    <xf numFmtId="0" applyNumberFormat="1" fontId="2" applyFont="1" fillId="6" applyFill="1" borderId="67" applyBorder="1" applyAlignment="1" xfId="0">
      <alignment horizontal="center"/>
    </xf>
    <xf numFmtId="0" applyNumberFormat="1" fontId="2" applyFont="1" fillId="6" applyFill="1" borderId="71" applyBorder="1" applyAlignment="1" xfId="0">
      <alignment horizontal="center"/>
    </xf>
    <xf numFmtId="0" applyNumberFormat="1" fontId="2" applyFont="1" fillId="6" applyFill="1" borderId="69" applyBorder="1" applyAlignment="1" xfId="0">
      <alignment horizont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9AF1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AEA7"/>
      <rgbColor rgb="00CCFFFF"/>
      <rgbColor rgb="00CCFFCC"/>
      <rgbColor rgb="00FFFF99"/>
      <rgbColor rgb="009FC5E8"/>
      <rgbColor rgb="00EA9999"/>
      <rgbColor rgb="00CC99FF"/>
      <rgbColor rgb="00F4CCCC"/>
      <rgbColor rgb="003366FF"/>
      <rgbColor rgb="003BDCD6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"/>
  <sheetViews>
    <sheetView workbookViewId="0" topLeftCell="A1">
      <pane xSplit="4" topLeftCell="E1" activePane="topRight" state="frozen"/>
      <selection pane="topRight" activeCell="G2" sqref="G2" activeCellId="0"/>
    </sheetView>
  </sheetViews>
  <sheetFormatPr defaultColWidth="12.5703125" defaultRowHeight="15.75" customHeight="1" x14ac:dyDescent="0.2" outlineLevelRow="0" outlineLevelCol="0"/>
  <cols>
    <col min="1" max="1" width="12.5703125" style="1"/>
    <col min="1" max="1" width="38.109375" style="1" customWidth="1"/>
    <col min="2" max="2" width="16.77734375" style="1" customWidth="1"/>
    <col min="3" max="3" width="16.77734375" style="1" customWidth="1"/>
    <col min="4" max="4" width="16.77734375" style="1" customWidth="1"/>
    <col min="5" max="22" width="12.5703125" style="1"/>
    <col min="23" max="23" width="16.7109375" style="1" customWidth="1"/>
    <col min="24" max="24" width="16.7109375" style="1" customWidth="1"/>
    <col min="25" max="25" width="16.7109375" style="1" customWidth="1"/>
    <col min="26" max="26" width="10.140625" style="1" customWidth="1"/>
    <col min="27" max="27" width="10.140625" style="1" customWidth="1"/>
    <col min="28" max="28" width="10.140625" style="1" customWidth="1"/>
    <col min="29" max="29" width="10.140625" style="1" customWidth="1"/>
    <col min="30" max="30" width="10.140625" style="1" customWidth="1"/>
    <col min="31" max="31" width="10.140625" style="1" customWidth="1"/>
    <col min="32" max="32" width="6.42578125" style="1" customWidth="1"/>
    <col min="33" max="33" width="6.42578125" style="1" customWidth="1"/>
    <col min="34" max="34" width="6.42578125" style="1" customWidth="1"/>
    <col min="35" max="35" width="6.42578125" style="1" customWidth="1"/>
    <col min="36" max="36" width="6.42578125" style="1" customWidth="1"/>
    <col min="37" max="37" width="6.42578125" style="1" customWidth="1"/>
    <col min="38" max="38" width="5.28515625" style="1" customWidth="1"/>
    <col min="39" max="39" width="5.28515625" style="1" customWidth="1"/>
    <col min="40" max="40" width="28.85546875" style="1" customWidth="1"/>
    <col min="41" max="41" width="8.7109375" style="1" customWidth="1"/>
    <col min="42" max="42" width="8.7109375" style="1" customWidth="1"/>
    <col min="43" max="43" width="8.7109375" style="1" customWidth="1"/>
    <col min="44" max="44" width="8.7109375" style="1" customWidth="1"/>
    <col min="45" max="45" width="8.7109375" style="1" customWidth="1"/>
    <col min="46" max="46" width="8.7109375" style="1" customWidth="1"/>
    <col min="47" max="16384" width="12.5703125" style="1"/>
  </cols>
  <sheetData>
    <row r="1" ht="15">
      <c r="A1" s="103" t="s">
        <v>0</v>
      </c>
      <c r="B1" s="103"/>
      <c r="C1" s="117" t="s">
        <v>1</v>
      </c>
      <c r="D1" s="117"/>
      <c r="E1" s="54" t="s">
        <v>2</v>
      </c>
      <c r="F1" s="54"/>
      <c r="G1" s="54"/>
      <c r="H1" s="54" t="s">
        <v>3</v>
      </c>
      <c r="I1" s="54"/>
      <c r="J1" s="54"/>
      <c r="K1" s="54" t="s">
        <v>4</v>
      </c>
      <c r="L1" s="54"/>
      <c r="M1" s="54"/>
      <c r="N1" s="55" t="s">
        <v>5</v>
      </c>
      <c r="O1" s="55"/>
      <c r="P1" s="55"/>
      <c r="Q1" s="55" t="s">
        <v>6</v>
      </c>
      <c r="R1" s="55"/>
      <c r="S1" s="55"/>
      <c r="T1" s="55" t="s">
        <v>7</v>
      </c>
      <c r="U1" s="55"/>
      <c r="V1" s="55"/>
      <c r="W1" s="55" t="s">
        <v>8</v>
      </c>
      <c r="X1" s="55"/>
      <c r="Y1" s="55"/>
      <c r="Z1" s="55" t="s">
        <v>9</v>
      </c>
      <c r="AA1" s="55"/>
      <c r="AB1" s="55"/>
      <c r="AC1" s="56" t="s">
        <v>10</v>
      </c>
      <c r="AD1" s="56"/>
      <c r="AE1" s="56"/>
      <c r="AF1" s="54" t="s">
        <v>11</v>
      </c>
      <c r="AG1" s="54"/>
      <c r="AH1" s="54"/>
      <c r="AI1" s="54" t="s">
        <v>12</v>
      </c>
      <c r="AJ1" s="54"/>
      <c r="AK1" s="54"/>
      <c r="AL1" s="57" t="s">
        <v>13</v>
      </c>
      <c r="AM1" s="58" t="s">
        <v>14</v>
      </c>
      <c r="AN1" s="59" t="s">
        <v>15</v>
      </c>
      <c r="AO1" s="60" t="s">
        <v>16</v>
      </c>
      <c r="AP1" s="2"/>
      <c r="AQ1" s="2"/>
      <c r="AR1" s="2"/>
      <c r="AS1" s="2"/>
      <c r="AT1" s="2"/>
    </row>
    <row r="2" ht="15">
      <c r="A2" s="103"/>
      <c r="B2" s="103"/>
      <c r="C2" s="117"/>
      <c r="D2" s="117"/>
      <c r="E2" s="3" t="s">
        <v>17</v>
      </c>
      <c r="F2" s="4" t="s">
        <v>18</v>
      </c>
      <c r="G2" s="5" t="s">
        <v>19</v>
      </c>
      <c r="H2" s="6" t="s">
        <v>17</v>
      </c>
      <c r="I2" s="7" t="s">
        <v>18</v>
      </c>
      <c r="J2" s="8" t="s">
        <v>19</v>
      </c>
      <c r="K2" s="6" t="s">
        <v>17</v>
      </c>
      <c r="L2" s="7" t="s">
        <v>18</v>
      </c>
      <c r="M2" s="8" t="s">
        <v>19</v>
      </c>
      <c r="N2" s="3" t="s">
        <v>17</v>
      </c>
      <c r="O2" s="4" t="s">
        <v>18</v>
      </c>
      <c r="P2" s="5" t="s">
        <v>19</v>
      </c>
      <c r="Q2" s="3" t="s">
        <v>17</v>
      </c>
      <c r="R2" s="4" t="s">
        <v>18</v>
      </c>
      <c r="S2" s="5" t="s">
        <v>19</v>
      </c>
      <c r="T2" s="3" t="s">
        <v>17</v>
      </c>
      <c r="U2" s="4" t="s">
        <v>18</v>
      </c>
      <c r="V2" s="5" t="s">
        <v>19</v>
      </c>
      <c r="W2" s="3" t="s">
        <v>17</v>
      </c>
      <c r="X2" s="4" t="s">
        <v>18</v>
      </c>
      <c r="Y2" s="5" t="s">
        <v>19</v>
      </c>
      <c r="Z2" s="3" t="s">
        <v>17</v>
      </c>
      <c r="AA2" s="4" t="s">
        <v>18</v>
      </c>
      <c r="AB2" s="5" t="s">
        <v>19</v>
      </c>
      <c r="AC2" s="9" t="s">
        <v>17</v>
      </c>
      <c r="AD2" s="4" t="s">
        <v>18</v>
      </c>
      <c r="AE2" s="5" t="s">
        <v>19</v>
      </c>
      <c r="AF2" s="54"/>
      <c r="AG2" s="54"/>
      <c r="AH2" s="54"/>
      <c r="AI2" s="54"/>
      <c r="AJ2" s="54"/>
      <c r="AK2" s="54"/>
      <c r="AL2" s="57"/>
      <c r="AM2" s="58"/>
      <c r="AN2" s="59"/>
      <c r="AO2" s="60"/>
      <c r="AP2" s="2"/>
      <c r="AQ2" s="2"/>
      <c r="AR2" s="2"/>
      <c r="AS2" s="2"/>
      <c r="AT2" s="2"/>
    </row>
    <row r="3" ht="15">
      <c r="A3" s="104" t="s">
        <v>20</v>
      </c>
      <c r="B3" s="111"/>
      <c r="C3" s="178" t="s">
        <v>21</v>
      </c>
      <c r="D3" s="118"/>
      <c r="E3" s="11">
        <v>2</v>
      </c>
      <c r="F3" s="12">
        <v>4</v>
      </c>
      <c r="G3" s="13">
        <v>6</v>
      </c>
      <c r="H3" s="11">
        <v>3</v>
      </c>
      <c r="I3" s="12">
        <v>5</v>
      </c>
      <c r="J3" s="13">
        <v>7</v>
      </c>
      <c r="K3" s="11">
        <v>4</v>
      </c>
      <c r="L3" s="12">
        <v>6</v>
      </c>
      <c r="M3" s="13">
        <v>8</v>
      </c>
      <c r="N3" s="11">
        <f>MIN(E3,H3,K3)</f>
        <v>2</v>
      </c>
      <c r="O3" s="14">
        <f>AVERAGE(F3,I3,L3)</f>
        <v>5</v>
      </c>
      <c r="P3" s="13">
        <f>MAX(G3,J3,M3)</f>
        <v>8</v>
      </c>
      <c r="Q3" s="15">
        <f>MIN($N$3,$N$7,$N$11,$N$15)/$P3</f>
        <v>0.25</v>
      </c>
      <c r="R3" s="14">
        <f>MIN($N$3,$N$7,$N$11,$N$15)/$O3</f>
        <v>0.4</v>
      </c>
      <c r="S3" s="16">
        <f>MIN($N$3,$N$7,$N$11,$N$15)/$N3</f>
        <v>1</v>
      </c>
      <c r="T3" s="11">
        <v>5</v>
      </c>
      <c r="U3" s="12">
        <v>7</v>
      </c>
      <c r="V3" s="13">
        <v>9</v>
      </c>
      <c r="W3" s="15">
        <f>Q3*T3</f>
        <v>1.25</v>
      </c>
      <c r="X3" s="14">
        <f>R3*U3</f>
        <v>2.8000000000000003</v>
      </c>
      <c r="Y3" s="16">
        <f>S3*V3</f>
        <v>9</v>
      </c>
      <c r="Z3" s="62">
        <f>MAX(W3,W7,W11,W15)</f>
        <v>1.25</v>
      </c>
      <c r="AA3" s="63">
        <f>MAX(X3,X7,X11,X15)</f>
        <v>2.8000000000000003</v>
      </c>
      <c r="AB3" s="64">
        <f>MAX(Y3,Y7,Y11,Y15)</f>
        <v>9</v>
      </c>
      <c r="AC3" s="62">
        <f>MIN(W3,W7,W11,W15)</f>
        <v>1</v>
      </c>
      <c r="AD3" s="63">
        <f>MIN(X3,X7,X11,X15)</f>
        <v>1.75</v>
      </c>
      <c r="AE3" s="64">
        <f>MIN(Y3,Y7,Y11,Y15)</f>
        <v>3</v>
      </c>
      <c r="AF3" s="65">
        <f>SQRT((1/3)*((W3-$Z$3)*(W3-$Z$3)+(X3-$AA$3)*(X3-$AA$3)+($AB$3-Y3)*($AB$3-Y3)))</f>
        <v>0</v>
      </c>
      <c r="AG3" s="65"/>
      <c r="AH3" s="65"/>
      <c r="AI3" s="65">
        <f>SQRT((1/3)*((W3-$AC$3)*(W3-$AC$3)+(X3-$AD$3)*(X3-$AD$3)+($AE$3-Y3)*($AE$3-Y3)))</f>
        <v>3.5197064271517493</v>
      </c>
      <c r="AJ3" s="65"/>
      <c r="AK3" s="65"/>
      <c r="AL3" s="62">
        <f>SUM(AF3:AH6)</f>
        <v>2.0966461545921886</v>
      </c>
      <c r="AM3" s="63">
        <f>SUM(AH3:AJ6)</f>
        <v>7.63733125360089</v>
      </c>
      <c r="AN3" s="64">
        <f>AM3/(AL3+AM3)</f>
        <v>0.7846054016082425</v>
      </c>
      <c r="AO3" s="66">
        <f>RANK(AN3,$AN$3:$AN$18)</f>
        <v>1</v>
      </c>
      <c r="AP3" s="17"/>
      <c r="AQ3" s="17"/>
      <c r="AR3" s="17"/>
      <c r="AS3" s="17"/>
      <c r="AT3" s="17"/>
    </row>
    <row r="4" ht="15">
      <c r="A4" s="104"/>
      <c r="B4" s="111"/>
      <c r="C4" s="179" t="s">
        <v>22</v>
      </c>
      <c r="D4" s="119"/>
      <c r="E4" s="19">
        <v>5</v>
      </c>
      <c r="F4" s="20">
        <v>7</v>
      </c>
      <c r="G4" s="21">
        <v>9</v>
      </c>
      <c r="H4" s="19">
        <v>3</v>
      </c>
      <c r="I4" s="20">
        <v>5</v>
      </c>
      <c r="J4" s="21">
        <v>7</v>
      </c>
      <c r="K4" s="19">
        <v>4</v>
      </c>
      <c r="L4" s="20">
        <v>6</v>
      </c>
      <c r="M4" s="21">
        <v>8</v>
      </c>
      <c r="N4" s="19">
        <f>MIN(E4,H4,K4)</f>
        <v>3</v>
      </c>
      <c r="O4" s="22">
        <f>AVERAGE(F4,I4,L4)</f>
        <v>6</v>
      </c>
      <c r="P4" s="21">
        <f>MAX(G4,J4,M4)</f>
        <v>9</v>
      </c>
      <c r="Q4" s="23">
        <f>MIN($N$4,$N$8,$N$12,$N$16)/$P4</f>
        <v>0.2222222222222222</v>
      </c>
      <c r="R4" s="22">
        <f>MIN($N$4,$N$8,$N$12,$N$16)/$O4</f>
        <v>0.3333333333333333</v>
      </c>
      <c r="S4" s="24">
        <f>MIN($N$4,$N$8,$N$12,$N$16)/$N4</f>
        <v>0.6666666666666666</v>
      </c>
      <c r="T4" s="19">
        <v>1</v>
      </c>
      <c r="U4" s="20">
        <v>3</v>
      </c>
      <c r="V4" s="21">
        <v>5</v>
      </c>
      <c r="W4" s="23">
        <f>Q4*T4</f>
        <v>0.2222222222222222</v>
      </c>
      <c r="X4" s="22">
        <f>R4*U4</f>
        <v>1</v>
      </c>
      <c r="Y4" s="24">
        <f>S4*V4</f>
        <v>3.333333333333333</v>
      </c>
      <c r="Z4" s="62"/>
      <c r="AA4" s="63"/>
      <c r="AB4" s="64"/>
      <c r="AC4" s="62"/>
      <c r="AD4" s="63"/>
      <c r="AE4" s="64"/>
      <c r="AF4" s="67">
        <f>SQRT((1/3)*((W4-$Z$7)*(W4-$Z$7)+(X4-$AA$7)*(X4-$AA$7)+($AB$7-Y4)*($AB$7-Y4)))</f>
        <v>0.969286573158501</v>
      </c>
      <c r="AG4" s="67"/>
      <c r="AH4" s="67"/>
      <c r="AI4" s="67">
        <f>SQRT((1/3)*((W4-$AC$7)*(W4-$AC$7)+(X4-$AD$7)*(X4-$AD$7)+($AE$7-Y4)*($AE$7-Y4)))</f>
        <v>0.7742062475083934</v>
      </c>
      <c r="AJ4" s="67"/>
      <c r="AK4" s="67"/>
      <c r="AL4" s="62"/>
      <c r="AM4" s="63"/>
      <c r="AN4" s="64"/>
      <c r="AO4" s="66"/>
      <c r="AP4" s="17"/>
      <c r="AQ4" s="17"/>
      <c r="AR4" s="17"/>
      <c r="AS4" s="17"/>
      <c r="AT4" s="17"/>
    </row>
    <row r="5" ht="15">
      <c r="A5" s="104"/>
      <c r="B5" s="111"/>
      <c r="C5" s="179" t="s">
        <v>23</v>
      </c>
      <c r="D5" s="119"/>
      <c r="E5" s="19">
        <v>2</v>
      </c>
      <c r="F5" s="20">
        <v>3</v>
      </c>
      <c r="G5" s="21">
        <v>5</v>
      </c>
      <c r="H5" s="19">
        <v>3</v>
      </c>
      <c r="I5" s="20">
        <v>5</v>
      </c>
      <c r="J5" s="21">
        <v>7</v>
      </c>
      <c r="K5" s="19">
        <v>1</v>
      </c>
      <c r="L5" s="20">
        <v>4</v>
      </c>
      <c r="M5" s="21">
        <v>6</v>
      </c>
      <c r="N5" s="19">
        <f>MIN(E5,H5,K5)</f>
        <v>1</v>
      </c>
      <c r="O5" s="22">
        <f>AVERAGE(F5,I5,L5)</f>
        <v>4</v>
      </c>
      <c r="P5" s="21">
        <f>MAX(G5,J5,M5)</f>
        <v>7</v>
      </c>
      <c r="Q5" s="23">
        <f>MIN($N$5,$N$9,$N$13,$N$17)/$P5</f>
        <v>0.14285714285714285</v>
      </c>
      <c r="R5" s="22">
        <f>MIN($N$5,$N$9,$N$13,$N$17)/$O5</f>
        <v>0.25</v>
      </c>
      <c r="S5" s="24">
        <f>MIN($N$5,$N$9,$N$13,$N$17)/$N5</f>
        <v>1</v>
      </c>
      <c r="T5" s="19">
        <v>1</v>
      </c>
      <c r="U5" s="20">
        <v>3</v>
      </c>
      <c r="V5" s="21">
        <v>5</v>
      </c>
      <c r="W5" s="23">
        <f>Q5*T5</f>
        <v>0.14285714285714285</v>
      </c>
      <c r="X5" s="22">
        <f>R5*U5</f>
        <v>0.75</v>
      </c>
      <c r="Y5" s="24">
        <f>S5*V5</f>
        <v>5</v>
      </c>
      <c r="Z5" s="62"/>
      <c r="AA5" s="63"/>
      <c r="AB5" s="64"/>
      <c r="AC5" s="62"/>
      <c r="AD5" s="63"/>
      <c r="AE5" s="64"/>
      <c r="AF5" s="67">
        <f>SQRT((1/3)*((W5-$Z$11)*(W5-$Z$11)+(X5-$AA$11)*(X5-$AA$11)+($AB$11-Y5)*($AB$11-Y5)))</f>
        <v>0</v>
      </c>
      <c r="AG5" s="67"/>
      <c r="AH5" s="67"/>
      <c r="AI5" s="67">
        <f>SQRT((1/3)*((W5-$AC$11)*(W5-$AC$11)+(X5-$AD$11)*(X5-$AD$11)+($AE$11-Y5)*($AE$11-Y5)))</f>
        <v>2.3196595824024033</v>
      </c>
      <c r="AJ5" s="67"/>
      <c r="AK5" s="67"/>
      <c r="AL5" s="62"/>
      <c r="AM5" s="63"/>
      <c r="AN5" s="64"/>
      <c r="AO5" s="66"/>
      <c r="AP5" s="17"/>
      <c r="AQ5" s="17"/>
      <c r="AR5" s="17"/>
      <c r="AS5" s="17"/>
      <c r="AT5" s="17"/>
    </row>
    <row r="6" ht="15">
      <c r="A6" s="104"/>
      <c r="B6" s="111"/>
      <c r="C6" s="180" t="s">
        <v>24</v>
      </c>
      <c r="D6" s="120"/>
      <c r="E6" s="26">
        <v>6</v>
      </c>
      <c r="F6" s="27">
        <v>8</v>
      </c>
      <c r="G6" s="28">
        <v>9</v>
      </c>
      <c r="H6" s="26">
        <v>4</v>
      </c>
      <c r="I6" s="27">
        <v>6</v>
      </c>
      <c r="J6" s="28">
        <v>8</v>
      </c>
      <c r="K6" s="26">
        <v>5</v>
      </c>
      <c r="L6" s="27">
        <v>7</v>
      </c>
      <c r="M6" s="28">
        <v>9</v>
      </c>
      <c r="N6" s="26">
        <f>MIN(E6,H6,K6)</f>
        <v>4</v>
      </c>
      <c r="O6" s="29">
        <f>AVERAGE(F6,I6,L6)</f>
        <v>7</v>
      </c>
      <c r="P6" s="28">
        <f>MAX(G6,J6,M6)</f>
        <v>9</v>
      </c>
      <c r="Q6" s="30">
        <f>MIN($N$6,$N$10,$N$14,$N$18)/$P6</f>
        <v>0.3333333333333333</v>
      </c>
      <c r="R6" s="29">
        <f>MIN($N$6,$N$10,$N$14,$N$18)/$O6</f>
        <v>0.42857142857142855</v>
      </c>
      <c r="S6" s="31">
        <f>MIN($N$6,$N$10,$N$14,$N$18)/$N6</f>
        <v>0.75</v>
      </c>
      <c r="T6" s="26">
        <v>3</v>
      </c>
      <c r="U6" s="27">
        <v>5</v>
      </c>
      <c r="V6" s="28">
        <v>7</v>
      </c>
      <c r="W6" s="30">
        <f>Q6*T6</f>
        <v>1</v>
      </c>
      <c r="X6" s="29">
        <f>R6*U6</f>
        <v>2.142857142857143</v>
      </c>
      <c r="Y6" s="31">
        <f>S6*V6</f>
        <v>5.25</v>
      </c>
      <c r="Z6" s="62"/>
      <c r="AA6" s="63"/>
      <c r="AB6" s="64"/>
      <c r="AC6" s="62"/>
      <c r="AD6" s="63"/>
      <c r="AE6" s="64"/>
      <c r="AF6" s="68">
        <f>SQRT((1/3)*((W6-$Z$15)*(W6-$Z$15)+(X6-$AA$15)*(X6-$AA$15)+($AB$15-Y6)*($AB$15-Y6)))</f>
        <v>1.1273595814336879</v>
      </c>
      <c r="AG6" s="68"/>
      <c r="AH6" s="68"/>
      <c r="AI6" s="68">
        <f>SQRT((1/3)*((W6-$AC$15)*(W6-$AC$15)+(X6-$AD$15)*(X6-$AD$15)+($AE$15-Y6)*($AE$15-Y6)))</f>
        <v>1.023758996538344</v>
      </c>
      <c r="AJ6" s="68"/>
      <c r="AK6" s="68"/>
      <c r="AL6" s="62"/>
      <c r="AM6" s="63"/>
      <c r="AN6" s="64"/>
      <c r="AO6" s="66"/>
      <c r="AP6" s="17"/>
      <c r="AQ6" s="17"/>
      <c r="AR6" s="17"/>
      <c r="AS6" s="17"/>
      <c r="AT6" s="17"/>
    </row>
    <row r="7" ht="15">
      <c r="A7" s="104" t="s">
        <v>25</v>
      </c>
      <c r="B7" s="111"/>
      <c r="C7" s="178" t="s">
        <v>21</v>
      </c>
      <c r="D7" s="118"/>
      <c r="E7" s="11">
        <v>4</v>
      </c>
      <c r="F7" s="12">
        <v>6</v>
      </c>
      <c r="G7" s="13">
        <v>8</v>
      </c>
      <c r="H7" s="11">
        <v>5</v>
      </c>
      <c r="I7" s="12">
        <v>7</v>
      </c>
      <c r="J7" s="13">
        <v>9</v>
      </c>
      <c r="K7" s="11">
        <v>6</v>
      </c>
      <c r="L7" s="12">
        <v>8</v>
      </c>
      <c r="M7" s="13">
        <v>10</v>
      </c>
      <c r="N7" s="11">
        <f>MIN(E7,H7,K7)</f>
        <v>4</v>
      </c>
      <c r="O7" s="14">
        <f>AVERAGE(F7,I7,L7)</f>
        <v>7</v>
      </c>
      <c r="P7" s="13">
        <f>MAX(G7,J7,M7)</f>
        <v>10</v>
      </c>
      <c r="Q7" s="15">
        <f>MIN($N$3,$N$7,$N$11,$N$15)/$P7</f>
        <v>0.2</v>
      </c>
      <c r="R7" s="14">
        <f>MIN($N$3,$N$7,$N$11,$N$15)/$O7</f>
        <v>0.2857142857142857</v>
      </c>
      <c r="S7" s="16">
        <f>MIN($N$3,$N$7,$N$11,$N$15)/$N7</f>
        <v>0.5</v>
      </c>
      <c r="T7" s="11">
        <v>5</v>
      </c>
      <c r="U7" s="12">
        <v>7</v>
      </c>
      <c r="V7" s="13">
        <v>9</v>
      </c>
      <c r="W7" s="15">
        <f>Q7*T7</f>
        <v>1</v>
      </c>
      <c r="X7" s="14">
        <f>R7*U7</f>
        <v>2</v>
      </c>
      <c r="Y7" s="16">
        <f>S7*V7</f>
        <v>4.5</v>
      </c>
      <c r="Z7" s="62">
        <f>MAX(W4,W8,W12,W16)</f>
        <v>0.25</v>
      </c>
      <c r="AA7" s="63">
        <f>MAX(X4,X8,X12,X16)</f>
        <v>1.2000000000000002</v>
      </c>
      <c r="AB7" s="64">
        <f>MAX(Y4,Y8,Y12,Y16)</f>
        <v>5</v>
      </c>
      <c r="AC7" s="62">
        <f>MIN(W4,W8,W12,W16)</f>
        <v>0.2222222222222222</v>
      </c>
      <c r="AD7" s="63">
        <f>MIN(X4,X8,X12,X16)</f>
        <v>0.8571428571428571</v>
      </c>
      <c r="AE7" s="64">
        <f>MIN(Y4,Y8,Y12,Y16)</f>
        <v>2</v>
      </c>
      <c r="AF7" s="65">
        <f>SQRT((1/3)*((W7-$Z$3)*(W7-$Z$3)+(X7-$AA$3)*(X7-$AA$3)+($AB$3-Y7)*($AB$3-Y7)))</f>
        <v>2.6427573983751644</v>
      </c>
      <c r="AG7" s="65"/>
      <c r="AH7" s="65"/>
      <c r="AI7" s="65">
        <f>SQRT((1/3)*((W7-$AC$3)*(W7-$AC$3)+(X7-$AD$3)*(X7-$AD$3)+($AE$3-Y7)*($AE$3-Y7)))</f>
        <v>0.8779711460710615</v>
      </c>
      <c r="AJ7" s="65"/>
      <c r="AK7" s="65"/>
      <c r="AL7" s="62">
        <f>SUM(AF7:AH10)</f>
        <v>6.302765263019809</v>
      </c>
      <c r="AM7" s="63">
        <f>SUM(AH7:AJ10)</f>
        <v>3.4201204812235346</v>
      </c>
      <c r="AN7" s="64">
        <f>AM7/(AL7+AM7)</f>
        <v>0.3517598140293374</v>
      </c>
      <c r="AO7" s="66">
        <f>RANK(AN7,$AN$3:$AN$18)</f>
        <v>2</v>
      </c>
      <c r="AP7" s="17"/>
      <c r="AQ7" s="17"/>
      <c r="AR7" s="17"/>
      <c r="AS7" s="17"/>
      <c r="AT7" s="17"/>
    </row>
    <row r="8" ht="15">
      <c r="A8" s="104"/>
      <c r="B8" s="111"/>
      <c r="C8" s="179" t="s">
        <v>22</v>
      </c>
      <c r="D8" s="119"/>
      <c r="E8" s="19">
        <v>4</v>
      </c>
      <c r="F8" s="20">
        <v>5</v>
      </c>
      <c r="G8" s="21">
        <v>7</v>
      </c>
      <c r="H8" s="19">
        <v>2</v>
      </c>
      <c r="I8" s="20">
        <v>4</v>
      </c>
      <c r="J8" s="21">
        <v>6</v>
      </c>
      <c r="K8" s="19">
        <v>3</v>
      </c>
      <c r="L8" s="20">
        <v>6</v>
      </c>
      <c r="M8" s="21">
        <v>8</v>
      </c>
      <c r="N8" s="19">
        <f>MIN(E8,H8,K8)</f>
        <v>2</v>
      </c>
      <c r="O8" s="22">
        <f>AVERAGE(F8,I8,L8)</f>
        <v>5</v>
      </c>
      <c r="P8" s="21">
        <f>MAX(G8,J8,M8)</f>
        <v>8</v>
      </c>
      <c r="Q8" s="23">
        <f>MIN($N$4,$N$8,$N$12,$N$16)/$P8</f>
        <v>0.25</v>
      </c>
      <c r="R8" s="22">
        <f>MIN($N$4,$N$8,$N$12,$N$16)/$O8</f>
        <v>0.4</v>
      </c>
      <c r="S8" s="24">
        <f>MIN($N$4,$N$8,$N$12,$N$16)/$N8</f>
        <v>1</v>
      </c>
      <c r="T8" s="19">
        <v>1</v>
      </c>
      <c r="U8" s="20">
        <v>3</v>
      </c>
      <c r="V8" s="21">
        <v>5</v>
      </c>
      <c r="W8" s="23">
        <f>Q8*T8</f>
        <v>0.25</v>
      </c>
      <c r="X8" s="22">
        <f>R8*U8</f>
        <v>1.2000000000000002</v>
      </c>
      <c r="Y8" s="24">
        <f>S8*V8</f>
        <v>5</v>
      </c>
      <c r="Z8" s="62"/>
      <c r="AA8" s="63"/>
      <c r="AB8" s="64"/>
      <c r="AC8" s="62"/>
      <c r="AD8" s="63"/>
      <c r="AE8" s="64"/>
      <c r="AF8" s="67">
        <f>SQRT((1/3)*((W8-$Z$7)*(W8-$Z$7)+(X8-$AA$7)*(X8-$AA$7)+($AB$7-Y8)*($AB$7-Y8)))</f>
        <v>0</v>
      </c>
      <c r="AG8" s="67"/>
      <c r="AH8" s="67"/>
      <c r="AI8" s="67">
        <f>SQRT((1/3)*((W8-$AC$7)*(W8-$AC$7)+(X8-$AD$7)*(X8-$AD$7)+($AE$7-Y8)*($AE$7-Y8)))</f>
        <v>1.743399229985914</v>
      </c>
      <c r="AJ8" s="67"/>
      <c r="AK8" s="67"/>
      <c r="AL8" s="62"/>
      <c r="AM8" s="63"/>
      <c r="AN8" s="64"/>
      <c r="AO8" s="66"/>
      <c r="AP8" s="17"/>
      <c r="AQ8" s="17"/>
      <c r="AR8" s="17"/>
      <c r="AS8" s="17"/>
      <c r="AT8" s="17"/>
    </row>
    <row r="9" ht="15">
      <c r="A9" s="104"/>
      <c r="B9" s="111"/>
      <c r="C9" s="179" t="s">
        <v>23</v>
      </c>
      <c r="D9" s="119"/>
      <c r="E9" s="19">
        <v>5</v>
      </c>
      <c r="F9" s="20">
        <v>7</v>
      </c>
      <c r="G9" s="21">
        <v>8</v>
      </c>
      <c r="H9" s="19">
        <v>3</v>
      </c>
      <c r="I9" s="20">
        <v>5</v>
      </c>
      <c r="J9" s="21">
        <v>7</v>
      </c>
      <c r="K9" s="19">
        <v>4</v>
      </c>
      <c r="L9" s="20">
        <v>6</v>
      </c>
      <c r="M9" s="21">
        <v>8</v>
      </c>
      <c r="N9" s="19">
        <f>MIN(E9,H9,K9)</f>
        <v>3</v>
      </c>
      <c r="O9" s="22">
        <f>AVERAGE(F9,I9,L9)</f>
        <v>6</v>
      </c>
      <c r="P9" s="21">
        <f>MAX(G9,J9,M9)</f>
        <v>8</v>
      </c>
      <c r="Q9" s="23">
        <f>MIN($N$5,$N$9,$N$13,$N$17)/$P9</f>
        <v>0.125</v>
      </c>
      <c r="R9" s="22">
        <f>MIN($N$5,$N$9,$N$13,$N$17)/$O9</f>
        <v>0.16666666666666666</v>
      </c>
      <c r="S9" s="24">
        <f>MIN($N$5,$N$9,$N$13,$N$17)/$N9</f>
        <v>0.3333333333333333</v>
      </c>
      <c r="T9" s="19">
        <v>1</v>
      </c>
      <c r="U9" s="20">
        <v>3</v>
      </c>
      <c r="V9" s="21">
        <v>5</v>
      </c>
      <c r="W9" s="23">
        <f>Q9*T9</f>
        <v>0.125</v>
      </c>
      <c r="X9" s="22">
        <f>R9*U9</f>
        <v>0.5</v>
      </c>
      <c r="Y9" s="24">
        <f>S9*V9</f>
        <v>1.6666666666666665</v>
      </c>
      <c r="Z9" s="62"/>
      <c r="AA9" s="63"/>
      <c r="AB9" s="64"/>
      <c r="AC9" s="62"/>
      <c r="AD9" s="63"/>
      <c r="AE9" s="64"/>
      <c r="AF9" s="67">
        <f>SQRT((1/3)*((W9-$Z$11)*(W9-$Z$11)+(X9-$AA$11)*(X9-$AA$11)+($AB$11-Y9)*($AB$11-Y9)))</f>
        <v>1.929933503920289</v>
      </c>
      <c r="AG9" s="67"/>
      <c r="AH9" s="67"/>
      <c r="AI9" s="67">
        <f>SQRT((1/3)*((W9-$AC$11)*(W9-$AC$11)+(X9-$AD$11)*(X9-$AD$11)+($AE$11-Y9)*($AE$11-Y9)))</f>
        <v>0.3918734678627972</v>
      </c>
      <c r="AJ9" s="67"/>
      <c r="AK9" s="67"/>
      <c r="AL9" s="62"/>
      <c r="AM9" s="63"/>
      <c r="AN9" s="64"/>
      <c r="AO9" s="66"/>
      <c r="AP9" s="17"/>
      <c r="AQ9" s="17"/>
      <c r="AR9" s="17"/>
      <c r="AS9" s="17"/>
      <c r="AT9" s="17"/>
    </row>
    <row r="10" ht="15">
      <c r="A10" s="61"/>
      <c r="B10" s="112"/>
      <c r="C10" s="180" t="s">
        <v>24</v>
      </c>
      <c r="D10" s="120"/>
      <c r="E10" s="26">
        <v>7</v>
      </c>
      <c r="F10" s="27">
        <v>8</v>
      </c>
      <c r="G10" s="28">
        <v>10</v>
      </c>
      <c r="H10" s="26">
        <v>5</v>
      </c>
      <c r="I10" s="27">
        <v>7</v>
      </c>
      <c r="J10" s="28">
        <v>9</v>
      </c>
      <c r="K10" s="26">
        <v>6</v>
      </c>
      <c r="L10" s="27">
        <v>8</v>
      </c>
      <c r="M10" s="28">
        <v>9</v>
      </c>
      <c r="N10" s="26">
        <f>MIN(E10,H10,K10)</f>
        <v>5</v>
      </c>
      <c r="O10" s="29">
        <f>AVERAGE(F10,I10,L10)</f>
        <v>7.666666666666667</v>
      </c>
      <c r="P10" s="28">
        <f>MAX(G10,J10,M10)</f>
        <v>10</v>
      </c>
      <c r="Q10" s="30">
        <f>MIN($N$6,$N$10,$N$14,$N$18)/$P10</f>
        <v>0.3</v>
      </c>
      <c r="R10" s="29">
        <f>MIN($N$6,$N$10,$N$14,$N$18)/$O10</f>
        <v>0.3913043478260869</v>
      </c>
      <c r="S10" s="31">
        <f>MIN($N$6,$N$10,$N$14,$N$18)/$N10</f>
        <v>0.6</v>
      </c>
      <c r="T10" s="26">
        <v>3</v>
      </c>
      <c r="U10" s="27">
        <v>5</v>
      </c>
      <c r="V10" s="28">
        <v>7</v>
      </c>
      <c r="W10" s="30">
        <f>Q10*T10</f>
        <v>0.8999999999999999</v>
      </c>
      <c r="X10" s="29">
        <f>R10*U10</f>
        <v>1.9565217391304346</v>
      </c>
      <c r="Y10" s="31">
        <f>S10*V10</f>
        <v>4.2</v>
      </c>
      <c r="Z10" s="62"/>
      <c r="AA10" s="63"/>
      <c r="AB10" s="64"/>
      <c r="AC10" s="62"/>
      <c r="AD10" s="63"/>
      <c r="AE10" s="64"/>
      <c r="AF10" s="68">
        <f>SQRT((1/3)*((W10-$Z$15)*(W10-$Z$15)+(X10-$AA$15)*(X10-$AA$15)+($AB$15-Y10)*($AB$15-Y10)))</f>
        <v>1.7300743607243563</v>
      </c>
      <c r="AG10" s="68"/>
      <c r="AH10" s="68"/>
      <c r="AI10" s="68">
        <f>SQRT((1/3)*((W10-$AC$15)*(W10-$AC$15)+(X10-$AD$15)*(X10-$AD$15)+($AE$15-Y10)*($AE$15-Y10)))</f>
        <v>0.40687663730376183</v>
      </c>
      <c r="AJ10" s="68"/>
      <c r="AK10" s="68"/>
      <c r="AL10" s="62"/>
      <c r="AM10" s="63"/>
      <c r="AN10" s="64"/>
      <c r="AO10" s="66"/>
      <c r="AP10" s="17"/>
      <c r="AQ10" s="17"/>
      <c r="AR10" s="17"/>
      <c r="AS10" s="17"/>
      <c r="AT10" s="17"/>
    </row>
    <row r="11" ht="15">
      <c r="A11" s="104" t="s">
        <v>26</v>
      </c>
      <c r="B11" s="111"/>
      <c r="C11" s="178" t="s">
        <v>21</v>
      </c>
      <c r="D11" s="118"/>
      <c r="E11" s="32">
        <v>5</v>
      </c>
      <c r="F11" s="33">
        <v>7</v>
      </c>
      <c r="G11" s="34">
        <v>9</v>
      </c>
      <c r="H11" s="11">
        <v>6</v>
      </c>
      <c r="I11" s="12">
        <v>8</v>
      </c>
      <c r="J11" s="13">
        <v>9</v>
      </c>
      <c r="K11" s="11">
        <v>7</v>
      </c>
      <c r="L11" s="12">
        <v>9</v>
      </c>
      <c r="M11" s="13">
        <v>10</v>
      </c>
      <c r="N11" s="11">
        <f>MIN(E11,H11,K11)</f>
        <v>5</v>
      </c>
      <c r="O11" s="14">
        <f>AVERAGE(F11,I11,L11)</f>
        <v>8</v>
      </c>
      <c r="P11" s="13">
        <f>MAX(G11,J11,M11)</f>
        <v>10</v>
      </c>
      <c r="Q11" s="15">
        <f>MIN($N$3,$N$7,$N$11,$N$15)/$P11</f>
        <v>0.2</v>
      </c>
      <c r="R11" s="14">
        <f>MIN($N$3,$N$7,$N$11,$N$15)/$O11</f>
        <v>0.25</v>
      </c>
      <c r="S11" s="16">
        <f>MIN($N$3,$N$7,$N$11,$N$15)/$N11</f>
        <v>0.4</v>
      </c>
      <c r="T11" s="11">
        <v>5</v>
      </c>
      <c r="U11" s="12">
        <v>7</v>
      </c>
      <c r="V11" s="13">
        <v>9</v>
      </c>
      <c r="W11" s="15">
        <f>Q11*T11</f>
        <v>1</v>
      </c>
      <c r="X11" s="14">
        <f>R11*U11</f>
        <v>1.75</v>
      </c>
      <c r="Y11" s="16">
        <f>S11*V11</f>
        <v>3.6</v>
      </c>
      <c r="Z11" s="62">
        <f>MAX(W5,W9,W13,W17)</f>
        <v>0.14285714285714285</v>
      </c>
      <c r="AA11" s="63">
        <f>MAX(X5,X9,X13,X17)</f>
        <v>0.75</v>
      </c>
      <c r="AB11" s="64">
        <f>MAX(Y5,Y9,Y13,Y17)</f>
        <v>5</v>
      </c>
      <c r="AC11" s="62">
        <f>MIN(W5,W9,W13,W17)</f>
        <v>0.1</v>
      </c>
      <c r="AD11" s="63">
        <f>MIN(X5,X9,X13,X17)</f>
        <v>0.375</v>
      </c>
      <c r="AE11" s="64">
        <f>MIN(Y5,Y9,Y13,Y17)</f>
        <v>1</v>
      </c>
      <c r="AF11" s="65">
        <f>SQRT((1/3)*((W11-$Z$3)*(W11-$Z$3)+(X11-$AA$3)*(X11-$AA$3)+($AB$3-Y11)*($AB$3-Y11)))</f>
        <v>3.1793605227047363</v>
      </c>
      <c r="AG11" s="65"/>
      <c r="AH11" s="65"/>
      <c r="AI11" s="65">
        <f>SQRT((1/3)*((W11-$AC$3)*(W11-$AC$3)+(X11-$AD$3)*(X11-$AD$3)+($AE$3-Y11)*($AE$3-Y11)))</f>
        <v>0.3464101615137755</v>
      </c>
      <c r="AJ11" s="65"/>
      <c r="AK11" s="65"/>
      <c r="AL11" s="62">
        <f>SUM(AF11:AH14)</f>
        <v>8.936986372043565</v>
      </c>
      <c r="AM11" s="63">
        <f>SUM(AH11:AJ14)</f>
        <v>0.7807586637072961</v>
      </c>
      <c r="AN11" s="64">
        <f>AM11/(AL11+AM11)</f>
        <v>8.034360449208566E-2</v>
      </c>
      <c r="AO11" s="66">
        <f>RANK(AN11,$AN$3:$AN$18)</f>
        <v>4</v>
      </c>
      <c r="AP11" s="17"/>
      <c r="AQ11" s="17"/>
      <c r="AR11" s="17"/>
      <c r="AS11" s="17"/>
      <c r="AT11" s="17"/>
    </row>
    <row r="12" ht="15">
      <c r="A12" s="104"/>
      <c r="B12" s="111"/>
      <c r="C12" s="179" t="s">
        <v>22</v>
      </c>
      <c r="D12" s="119"/>
      <c r="E12" s="19">
        <v>6</v>
      </c>
      <c r="F12" s="20">
        <v>8</v>
      </c>
      <c r="G12" s="21">
        <v>9</v>
      </c>
      <c r="H12" s="19">
        <v>4</v>
      </c>
      <c r="I12" s="20">
        <v>6</v>
      </c>
      <c r="J12" s="21">
        <v>8</v>
      </c>
      <c r="K12" s="19">
        <v>5</v>
      </c>
      <c r="L12" s="20">
        <v>7</v>
      </c>
      <c r="M12" s="21">
        <v>9</v>
      </c>
      <c r="N12" s="19">
        <f>MIN(E12,H12,K12)</f>
        <v>4</v>
      </c>
      <c r="O12" s="22">
        <f>AVERAGE(F12,I12,L12)</f>
        <v>7</v>
      </c>
      <c r="P12" s="21">
        <f>MAX(G12,J12,M12)</f>
        <v>9</v>
      </c>
      <c r="Q12" s="23">
        <f>MIN($N$4,$N$8,$N$12,$N$16)/$P12</f>
        <v>0.2222222222222222</v>
      </c>
      <c r="R12" s="22">
        <f>MIN($N$4,$N$8,$N$12,$N$16)/$O12</f>
        <v>0.2857142857142857</v>
      </c>
      <c r="S12" s="24">
        <f>MIN($N$4,$N$8,$N$12,$N$16)/$N12</f>
        <v>0.5</v>
      </c>
      <c r="T12" s="19">
        <v>1</v>
      </c>
      <c r="U12" s="20">
        <v>3</v>
      </c>
      <c r="V12" s="21">
        <v>5</v>
      </c>
      <c r="W12" s="23">
        <f>Q12*T12</f>
        <v>0.2222222222222222</v>
      </c>
      <c r="X12" s="22">
        <f>R12*U12</f>
        <v>0.8571428571428571</v>
      </c>
      <c r="Y12" s="24">
        <f>S12*V12</f>
        <v>2.5</v>
      </c>
      <c r="Z12" s="62"/>
      <c r="AA12" s="63"/>
      <c r="AB12" s="64"/>
      <c r="AC12" s="62"/>
      <c r="AD12" s="63"/>
      <c r="AE12" s="64"/>
      <c r="AF12" s="67">
        <f>SQRT((1/3)*((W12-$Z$7)*(W12-$Z$7)+(X12-$AA$7)*(X12-$AA$7)+($AB$7-Y12)*($AB$7-Y12)))</f>
        <v>1.4569743334900624</v>
      </c>
      <c r="AG12" s="67"/>
      <c r="AH12" s="67"/>
      <c r="AI12" s="67">
        <f>SQRT((1/3)*((W12-$AC$7)*(W12-$AC$7)+(X12-$AD$7)*(X12-$AD$7)+($AE$7-Y12)*($AE$7-Y12)))</f>
        <v>0.28867513459481287</v>
      </c>
      <c r="AJ12" s="67"/>
      <c r="AK12" s="67"/>
      <c r="AL12" s="62"/>
      <c r="AM12" s="63"/>
      <c r="AN12" s="64"/>
      <c r="AO12" s="66"/>
      <c r="AP12" s="17"/>
      <c r="AQ12" s="17"/>
      <c r="AR12" s="17"/>
      <c r="AS12" s="17"/>
      <c r="AT12" s="17"/>
    </row>
    <row r="13" ht="15">
      <c r="A13" s="104"/>
      <c r="B13" s="111"/>
      <c r="C13" s="179" t="s">
        <v>23</v>
      </c>
      <c r="D13" s="119"/>
      <c r="E13" s="19">
        <v>6</v>
      </c>
      <c r="F13" s="20">
        <v>8</v>
      </c>
      <c r="G13" s="21">
        <v>9</v>
      </c>
      <c r="H13" s="19">
        <v>4</v>
      </c>
      <c r="I13" s="20">
        <v>6</v>
      </c>
      <c r="J13" s="21">
        <v>8</v>
      </c>
      <c r="K13" s="19">
        <v>5</v>
      </c>
      <c r="L13" s="20">
        <v>8</v>
      </c>
      <c r="M13" s="21">
        <v>10</v>
      </c>
      <c r="N13" s="19">
        <f>MIN(E13,H13,K13)</f>
        <v>4</v>
      </c>
      <c r="O13" s="22">
        <f>AVERAGE(F13,I13,L13)</f>
        <v>7.333333333333333</v>
      </c>
      <c r="P13" s="21">
        <f>MAX(G13,J13,M13)</f>
        <v>10</v>
      </c>
      <c r="Q13" s="23">
        <f>MIN($N$5,$N$9,$N$13,$N$17)/$P13</f>
        <v>0.1</v>
      </c>
      <c r="R13" s="22">
        <f>MIN($N$5,$N$9,$N$13,$N$17)/$O13</f>
        <v>0.13636363636363638</v>
      </c>
      <c r="S13" s="24">
        <f>MIN($N$5,$N$9,$N$13,$N$17)/$N13</f>
        <v>0.25</v>
      </c>
      <c r="T13" s="19">
        <v>1</v>
      </c>
      <c r="U13" s="20">
        <v>3</v>
      </c>
      <c r="V13" s="21">
        <v>5</v>
      </c>
      <c r="W13" s="23">
        <f>Q13*T13</f>
        <v>0.1</v>
      </c>
      <c r="X13" s="22">
        <f>R13*U13</f>
        <v>0.40909090909090917</v>
      </c>
      <c r="Y13" s="24">
        <f>S13*V13</f>
        <v>1.25</v>
      </c>
      <c r="Z13" s="62"/>
      <c r="AA13" s="63"/>
      <c r="AB13" s="64"/>
      <c r="AC13" s="62"/>
      <c r="AD13" s="63"/>
      <c r="AE13" s="64"/>
      <c r="AF13" s="67">
        <f>SQRT((1/3)*((W13-$Z$11)*(W13-$Z$11)+(X13-$AA$11)*(X13-$AA$11)+($AB$11-Y13)*($AB$11-Y13)))</f>
        <v>2.174132450960485</v>
      </c>
      <c r="AG13" s="67"/>
      <c r="AH13" s="67"/>
      <c r="AI13" s="67">
        <f>SQRT((1/3)*((W13-$AC$11)*(W13-$AC$11)+(X13-$AD$11)*(X13-$AD$11)+($AE$11-Y13)*($AE$11-Y13)))</f>
        <v>0.14567336759870766</v>
      </c>
      <c r="AJ13" s="67"/>
      <c r="AK13" s="67"/>
      <c r="AL13" s="62"/>
      <c r="AM13" s="63"/>
      <c r="AN13" s="64"/>
      <c r="AO13" s="66"/>
      <c r="AP13" s="17"/>
      <c r="AQ13" s="17"/>
      <c r="AR13" s="17"/>
      <c r="AS13" s="17"/>
      <c r="AT13" s="17"/>
    </row>
    <row r="14" ht="15">
      <c r="A14" s="61"/>
      <c r="B14" s="112"/>
      <c r="C14" s="180" t="s">
        <v>24</v>
      </c>
      <c r="D14" s="120"/>
      <c r="E14" s="35">
        <v>8</v>
      </c>
      <c r="F14" s="36">
        <v>9</v>
      </c>
      <c r="G14" s="37">
        <v>10</v>
      </c>
      <c r="H14" s="26">
        <v>6</v>
      </c>
      <c r="I14" s="27">
        <v>7</v>
      </c>
      <c r="J14" s="28">
        <v>8</v>
      </c>
      <c r="K14" s="26">
        <v>7</v>
      </c>
      <c r="L14" s="27">
        <v>8</v>
      </c>
      <c r="M14" s="28">
        <v>9</v>
      </c>
      <c r="N14" s="26">
        <f>MIN(E14,H14,K14)</f>
        <v>6</v>
      </c>
      <c r="O14" s="29">
        <f>AVERAGE(F14,I14,L14)</f>
        <v>8</v>
      </c>
      <c r="P14" s="28">
        <f>MAX(G14,J14,M14)</f>
        <v>10</v>
      </c>
      <c r="Q14" s="30">
        <f>MIN($N$6,$N$10,$N$14,$N$18)/$P14</f>
        <v>0.3</v>
      </c>
      <c r="R14" s="29">
        <f>MIN($N$6,$N$10,$N$14,$N$18)/$O14</f>
        <v>0.375</v>
      </c>
      <c r="S14" s="31">
        <f>MIN($N$6,$N$10,$N$14,$N$18)/$N14</f>
        <v>0.5</v>
      </c>
      <c r="T14" s="26">
        <v>3</v>
      </c>
      <c r="U14" s="27">
        <v>5</v>
      </c>
      <c r="V14" s="28">
        <v>7</v>
      </c>
      <c r="W14" s="30">
        <f>Q14*T14</f>
        <v>0.8999999999999999</v>
      </c>
      <c r="X14" s="29">
        <f>R14*U14</f>
        <v>1.875</v>
      </c>
      <c r="Y14" s="31">
        <f>S14*V14</f>
        <v>3.5</v>
      </c>
      <c r="Z14" s="62"/>
      <c r="AA14" s="63"/>
      <c r="AB14" s="64"/>
      <c r="AC14" s="62"/>
      <c r="AD14" s="63"/>
      <c r="AE14" s="64"/>
      <c r="AF14" s="68">
        <f>SQRT((1/3)*((W14-$Z$15)*(W14-$Z$15)+(X14-$AA$15)*(X14-$AA$15)+($AB$15-Y14)*($AB$15-Y14)))</f>
        <v>2.126519064888282</v>
      </c>
      <c r="AG14" s="68"/>
      <c r="AH14" s="68"/>
      <c r="AI14" s="68">
        <f>SQRT((1/3)*((W14-$AC$15)*(W14-$AC$15)+(X14-$AD$15)*(X14-$AD$15)+($AE$15-Y14)*($AE$15-Y14)))</f>
        <v>0</v>
      </c>
      <c r="AJ14" s="68"/>
      <c r="AK14" s="68"/>
      <c r="AL14" s="62"/>
      <c r="AM14" s="63"/>
      <c r="AN14" s="64"/>
      <c r="AO14" s="66"/>
      <c r="AP14" s="17"/>
      <c r="AQ14" s="17"/>
      <c r="AR14" s="17"/>
      <c r="AS14" s="17"/>
      <c r="AT14" s="17"/>
    </row>
    <row r="15" ht="15">
      <c r="A15" s="104" t="s">
        <v>27</v>
      </c>
      <c r="B15" s="111"/>
      <c r="C15" s="181" t="s">
        <v>21</v>
      </c>
      <c r="D15" s="121"/>
      <c r="E15" s="11">
        <v>6</v>
      </c>
      <c r="F15" s="12">
        <v>7</v>
      </c>
      <c r="G15" s="13">
        <v>9</v>
      </c>
      <c r="H15" s="32">
        <v>7</v>
      </c>
      <c r="I15" s="33">
        <v>8</v>
      </c>
      <c r="J15" s="34">
        <v>10</v>
      </c>
      <c r="K15" s="32">
        <v>8</v>
      </c>
      <c r="L15" s="33">
        <v>9</v>
      </c>
      <c r="M15" s="34">
        <v>10</v>
      </c>
      <c r="N15" s="32">
        <f>MIN(E15,H15,K15)</f>
        <v>6</v>
      </c>
      <c r="O15" s="39">
        <f>AVERAGE(F15,I15,L15)</f>
        <v>8</v>
      </c>
      <c r="P15" s="34">
        <f>MAX(G15,J15,M15)</f>
        <v>10</v>
      </c>
      <c r="Q15" s="40">
        <f>MIN($N$3,$N$7,$N$11,$N$15)/$P15</f>
        <v>0.2</v>
      </c>
      <c r="R15" s="39">
        <f>MIN($N$3,$N$7,$N$11,$N$15)/$O15</f>
        <v>0.25</v>
      </c>
      <c r="S15" s="41">
        <f>MIN($N$3,$N$7,$N$11,$N$15)/$N15</f>
        <v>0.3333333333333333</v>
      </c>
      <c r="T15" s="11">
        <v>5</v>
      </c>
      <c r="U15" s="12">
        <v>7</v>
      </c>
      <c r="V15" s="13">
        <v>9</v>
      </c>
      <c r="W15" s="40">
        <f>Q15*T15</f>
        <v>1</v>
      </c>
      <c r="X15" s="39">
        <f>R15*U15</f>
        <v>1.75</v>
      </c>
      <c r="Y15" s="41">
        <f>S15*V15</f>
        <v>3</v>
      </c>
      <c r="Z15" s="70">
        <f>MAX(W6,W10,W14,W18)</f>
        <v>1.125</v>
      </c>
      <c r="AA15" s="71">
        <f>MAX(X6,X10,X14,X18)</f>
        <v>3</v>
      </c>
      <c r="AB15" s="72">
        <f>MAX(Y6,Y10,Y14,Y18)</f>
        <v>7</v>
      </c>
      <c r="AC15" s="70">
        <f>MIN(W6,W10,W14,W18)</f>
        <v>0.8999999999999999</v>
      </c>
      <c r="AD15" s="71">
        <f>MIN(X6,X10,X14,X18)</f>
        <v>1.875</v>
      </c>
      <c r="AE15" s="72">
        <f>MIN(Y6,Y10,Y14,Y18)</f>
        <v>3.5</v>
      </c>
      <c r="AF15" s="73">
        <f>SQRT((1/3)*((W15-$Z$3)*(W15-$Z$3)+(X15-$AA$3)*(X15-$AA$3)+($AB$3-Y15)*($AB$3-Y15)))</f>
        <v>3.5197064271517493</v>
      </c>
      <c r="AG15" s="73"/>
      <c r="AH15" s="73"/>
      <c r="AI15" s="73">
        <f>SQRT((1/3)*((W15-$AC$3)*(W15-$AC$3)+(X15-$AD$3)*(X15-$AD$3)+($AE$3-Y15)*($AE$3-Y15)))</f>
        <v>0</v>
      </c>
      <c r="AJ15" s="73"/>
      <c r="AK15" s="73"/>
      <c r="AL15" s="70">
        <f>SUM(AF15:AH18)</f>
        <v>7.582765239540066</v>
      </c>
      <c r="AM15" s="71">
        <f>SUM(AH15:AJ18)</f>
        <v>2.126519064888282</v>
      </c>
      <c r="AN15" s="72">
        <f>AM15/(AL15+AM15)</f>
        <v>0.21901913655143346</v>
      </c>
      <c r="AO15" s="74">
        <f>RANK(AN15,$AN$3:$AN$18)</f>
        <v>3</v>
      </c>
      <c r="AP15" s="17"/>
      <c r="AQ15" s="17"/>
      <c r="AR15" s="17"/>
      <c r="AS15" s="17"/>
      <c r="AT15" s="17"/>
    </row>
    <row r="16" ht="15">
      <c r="A16" s="107"/>
      <c r="B16" s="113"/>
      <c r="C16" s="179" t="s">
        <v>22</v>
      </c>
      <c r="D16" s="119"/>
      <c r="E16" s="19">
        <v>7</v>
      </c>
      <c r="F16" s="20">
        <v>8</v>
      </c>
      <c r="G16" s="21">
        <v>9</v>
      </c>
      <c r="H16" s="19">
        <v>5</v>
      </c>
      <c r="I16" s="20">
        <v>6</v>
      </c>
      <c r="J16" s="21">
        <v>8</v>
      </c>
      <c r="K16" s="19">
        <v>6</v>
      </c>
      <c r="L16" s="20">
        <v>7</v>
      </c>
      <c r="M16" s="21">
        <v>9</v>
      </c>
      <c r="N16" s="19">
        <f>MIN(E16,H16,K16)</f>
        <v>5</v>
      </c>
      <c r="O16" s="22">
        <f>AVERAGE(F16,I16,L16)</f>
        <v>7</v>
      </c>
      <c r="P16" s="21">
        <f>MAX(G16,J16,M16)</f>
        <v>9</v>
      </c>
      <c r="Q16" s="23">
        <f>MIN($N$4,$N$8,$N$12,$N$16)/$P16</f>
        <v>0.2222222222222222</v>
      </c>
      <c r="R16" s="22">
        <f>MIN($N$4,$N$8,$N$12,$N$16)/$O16</f>
        <v>0.2857142857142857</v>
      </c>
      <c r="S16" s="24">
        <f>MIN($N$4,$N$8,$N$12,$N$16)/$N16</f>
        <v>0.4</v>
      </c>
      <c r="T16" s="19">
        <v>1</v>
      </c>
      <c r="U16" s="20">
        <v>3</v>
      </c>
      <c r="V16" s="21">
        <v>5</v>
      </c>
      <c r="W16" s="23">
        <f>Q16*T16</f>
        <v>0.2222222222222222</v>
      </c>
      <c r="X16" s="22">
        <f>R16*U16</f>
        <v>0.8571428571428571</v>
      </c>
      <c r="Y16" s="24">
        <f>S16*V16</f>
        <v>2</v>
      </c>
      <c r="Z16" s="70"/>
      <c r="AA16" s="71"/>
      <c r="AB16" s="72"/>
      <c r="AC16" s="70"/>
      <c r="AD16" s="71"/>
      <c r="AE16" s="72"/>
      <c r="AF16" s="67">
        <f>SQRT((1/3)*((W16-$Z$7)*(W16-$Z$7)+(X16-$AA$7)*(X16-$AA$7)+($AB$7-Y16)*($AB$7-Y16)))</f>
        <v>1.743399229985914</v>
      </c>
      <c r="AG16" s="67"/>
      <c r="AH16" s="67"/>
      <c r="AI16" s="67">
        <f>SQRT((1/3)*((W16-$AC$7)*(W16-$AC$7)+(X16-$AD$7)*(X16-$AD$7)+($AE$7-Y16)*($AE$7-Y16)))</f>
        <v>0</v>
      </c>
      <c r="AJ16" s="67"/>
      <c r="AK16" s="67"/>
      <c r="AL16" s="70"/>
      <c r="AM16" s="71"/>
      <c r="AN16" s="72"/>
      <c r="AO16" s="74"/>
      <c r="AP16" s="17"/>
      <c r="AQ16" s="17"/>
      <c r="AR16" s="17"/>
      <c r="AS16" s="17"/>
      <c r="AT16" s="17"/>
    </row>
    <row r="17" ht="15">
      <c r="A17" s="107"/>
      <c r="B17" s="113"/>
      <c r="C17" s="179" t="s">
        <v>23</v>
      </c>
      <c r="D17" s="119"/>
      <c r="E17" s="19">
        <v>7</v>
      </c>
      <c r="F17" s="20">
        <v>8</v>
      </c>
      <c r="G17" s="21">
        <v>9</v>
      </c>
      <c r="H17" s="19">
        <v>5</v>
      </c>
      <c r="I17" s="20">
        <v>7</v>
      </c>
      <c r="J17" s="21">
        <v>9</v>
      </c>
      <c r="K17" s="19">
        <v>6</v>
      </c>
      <c r="L17" s="20">
        <v>9</v>
      </c>
      <c r="M17" s="21">
        <v>10</v>
      </c>
      <c r="N17" s="19">
        <f>MIN(E17,H17,K17)</f>
        <v>5</v>
      </c>
      <c r="O17" s="22">
        <f>AVERAGE(F17,I17,L17)</f>
        <v>8</v>
      </c>
      <c r="P17" s="21">
        <f>MAX(G17,J17,M17)</f>
        <v>10</v>
      </c>
      <c r="Q17" s="23">
        <f>MIN($N$5,$N$9,$N$13,$N$17)/$P17</f>
        <v>0.1</v>
      </c>
      <c r="R17" s="22">
        <f>MIN($N$5,$N$9,$N$13,$N$17)/$O17</f>
        <v>0.125</v>
      </c>
      <c r="S17" s="24">
        <f>MIN($N$5,$N$9,$N$13,$N$17)/$N17</f>
        <v>0.2</v>
      </c>
      <c r="T17" s="19">
        <v>1</v>
      </c>
      <c r="U17" s="20">
        <v>3</v>
      </c>
      <c r="V17" s="21">
        <v>5</v>
      </c>
      <c r="W17" s="23">
        <f>Q17*T17</f>
        <v>0.1</v>
      </c>
      <c r="X17" s="22">
        <f>R17*U17</f>
        <v>0.375</v>
      </c>
      <c r="Y17" s="24">
        <f>S17*V17</f>
        <v>1</v>
      </c>
      <c r="Z17" s="70"/>
      <c r="AA17" s="71"/>
      <c r="AB17" s="72"/>
      <c r="AC17" s="70"/>
      <c r="AD17" s="71"/>
      <c r="AE17" s="72"/>
      <c r="AF17" s="67">
        <f>SQRT((1/3)*((W17-$Z$11)*(W17-$Z$11)+(X17-$AA$11)*(X17-$AA$11)+($AB$11-Y17)*($AB$11-Y17)))</f>
        <v>2.3196595824024033</v>
      </c>
      <c r="AG17" s="67"/>
      <c r="AH17" s="67"/>
      <c r="AI17" s="67">
        <f>SQRT((1/3)*((W17-$AC$11)*(W17-$AC$11)+(X17-$AD$11)*(X17-$AD$11)+($AE$11-Y17)*($AE$11-Y17)))</f>
        <v>0</v>
      </c>
      <c r="AJ17" s="67"/>
      <c r="AK17" s="67"/>
      <c r="AL17" s="70"/>
      <c r="AM17" s="71"/>
      <c r="AN17" s="72"/>
      <c r="AO17" s="74"/>
      <c r="AP17" s="17"/>
      <c r="AQ17" s="17"/>
      <c r="AR17" s="17"/>
      <c r="AS17" s="17"/>
      <c r="AT17" s="17"/>
    </row>
    <row r="18" ht="15">
      <c r="A18" s="69"/>
      <c r="B18" s="114"/>
      <c r="C18" s="180" t="s">
        <v>24</v>
      </c>
      <c r="D18" s="120"/>
      <c r="E18" s="26">
        <v>3</v>
      </c>
      <c r="F18" s="27">
        <v>4</v>
      </c>
      <c r="G18" s="28">
        <v>6</v>
      </c>
      <c r="H18" s="26">
        <v>4</v>
      </c>
      <c r="I18" s="27">
        <v>5</v>
      </c>
      <c r="J18" s="28">
        <v>7</v>
      </c>
      <c r="K18" s="26">
        <v>5</v>
      </c>
      <c r="L18" s="27">
        <v>6</v>
      </c>
      <c r="M18" s="28">
        <v>8</v>
      </c>
      <c r="N18" s="26">
        <f>MIN(E18,H18,K18)</f>
        <v>3</v>
      </c>
      <c r="O18" s="29">
        <f>AVERAGE(F18,I18,L18)</f>
        <v>5</v>
      </c>
      <c r="P18" s="28">
        <f>MAX(G18,J18,M18)</f>
        <v>8</v>
      </c>
      <c r="Q18" s="30">
        <f>MIN($N$6,$N$10,$N$14,$N$18)/$P18</f>
        <v>0.375</v>
      </c>
      <c r="R18" s="29">
        <f>MIN($N$6,$N$10,$N$14,$N$18)/$O18</f>
        <v>0.6</v>
      </c>
      <c r="S18" s="31">
        <f>MIN($N$6,$N$10,$N$14,$N$18)/$N18</f>
        <v>1</v>
      </c>
      <c r="T18" s="26">
        <v>3</v>
      </c>
      <c r="U18" s="27">
        <v>5</v>
      </c>
      <c r="V18" s="28">
        <v>7</v>
      </c>
      <c r="W18" s="30">
        <f>Q18*T18</f>
        <v>1.125</v>
      </c>
      <c r="X18" s="29">
        <f>R18*U18</f>
        <v>3</v>
      </c>
      <c r="Y18" s="31">
        <f>S18*V18</f>
        <v>7</v>
      </c>
      <c r="Z18" s="70"/>
      <c r="AA18" s="71"/>
      <c r="AB18" s="72"/>
      <c r="AC18" s="70"/>
      <c r="AD18" s="71"/>
      <c r="AE18" s="72"/>
      <c r="AF18" s="68">
        <f>SQRT((1/3)*((W18-$Z$15)*(W18-$Z$15)+(X18-$AA$15)*(X18-$AA$15)+($AB$15-Y18)*($AB$15-Y18)))</f>
        <v>0</v>
      </c>
      <c r="AG18" s="68"/>
      <c r="AH18" s="68"/>
      <c r="AI18" s="68">
        <f>SQRT((1/3)*((W18-$AC$15)*(W18-$AC$15)+(X18-$AD$15)*(X18-$AD$15)+($AE$15-Y18)*($AE$15-Y18)))</f>
        <v>2.126519064888282</v>
      </c>
      <c r="AJ18" s="68"/>
      <c r="AK18" s="68"/>
      <c r="AL18" s="70"/>
      <c r="AM18" s="71"/>
      <c r="AN18" s="72"/>
      <c r="AO18" s="74"/>
      <c r="AP18" s="17"/>
      <c r="AQ18" s="17"/>
      <c r="AR18" s="17"/>
      <c r="AS18" s="17"/>
      <c r="AT18" s="17"/>
    </row>
    <row r="19">
      <c r="AI19" s="75"/>
      <c r="AJ19" s="75"/>
      <c r="AK19" s="75"/>
    </row>
    <row r="20" ht="15">
      <c r="A20" s="182" t="s">
        <v>28</v>
      </c>
      <c r="B20" s="183"/>
      <c r="C20" s="183" t="s">
        <v>29</v>
      </c>
      <c r="D20" s="118"/>
    </row>
    <row r="21" ht="15">
      <c r="A21" s="184" t="s">
        <v>30</v>
      </c>
      <c r="B21" s="110"/>
      <c r="C21" s="110" t="s">
        <v>31</v>
      </c>
      <c r="D21" s="119"/>
    </row>
    <row r="22" ht="15">
      <c r="A22" s="184" t="s">
        <v>32</v>
      </c>
      <c r="B22" s="110"/>
      <c r="C22" s="110" t="s">
        <v>29</v>
      </c>
      <c r="D22" s="119"/>
      <c r="J22" s="1"/>
      <c r="K22" s="1"/>
      <c r="L22" s="1"/>
      <c r="M22" s="1"/>
      <c r="N22" s="1"/>
      <c r="O22" s="1"/>
    </row>
    <row r="23" ht="15">
      <c r="A23" s="185" t="s">
        <v>33</v>
      </c>
      <c r="B23" s="186"/>
      <c r="C23" s="186" t="s">
        <v>31</v>
      </c>
      <c r="D23" s="120"/>
      <c r="J23" s="1"/>
      <c r="K23" s="1"/>
      <c r="L23" s="1"/>
      <c r="M23" s="1"/>
      <c r="N23" s="1"/>
      <c r="O23" s="1"/>
    </row>
    <row r="24">
      <c r="J24" s="1"/>
      <c r="K24" s="1"/>
      <c r="L24" s="1"/>
      <c r="M24" s="1"/>
      <c r="N24" s="1"/>
      <c r="O24" s="1"/>
    </row>
    <row r="25">
      <c r="A25" s="167" t="s">
        <v>84</v>
      </c>
      <c r="B25" s="168"/>
      <c r="C25" s="168"/>
      <c r="D25" s="169"/>
    </row>
    <row r="26">
      <c r="A26" s="170" t="s">
        <v>38</v>
      </c>
      <c r="B26" s="173">
        <v>1</v>
      </c>
      <c r="C26" s="174">
        <v>3</v>
      </c>
      <c r="D26" s="175">
        <v>5</v>
      </c>
    </row>
    <row r="27">
      <c r="A27" s="171" t="s">
        <v>42</v>
      </c>
      <c r="B27" s="176">
        <v>3</v>
      </c>
      <c r="C27" s="161">
        <v>5</v>
      </c>
      <c r="D27" s="162">
        <v>7</v>
      </c>
    </row>
    <row r="28">
      <c r="A28" s="172" t="s">
        <v>46</v>
      </c>
      <c r="B28" s="177">
        <v>5</v>
      </c>
      <c r="C28" s="165">
        <v>7</v>
      </c>
      <c r="D28" s="166">
        <v>9</v>
      </c>
    </row>
  </sheetData>
  <sheetProtection selectLockedCells="1" selectUnlockedCells="1"/>
  <mergeCells count="119">
    <mergeCell ref="A1:B2"/>
    <mergeCell ref="C1:D2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2"/>
    <mergeCell ref="AI1:AK2"/>
    <mergeCell ref="AL1:AL2"/>
    <mergeCell ref="AM1:AM2"/>
    <mergeCell ref="AN1:AN2"/>
    <mergeCell ref="AO1:AO2"/>
    <mergeCell ref="A3:B6"/>
    <mergeCell ref="C3:D3"/>
    <mergeCell ref="Z3:Z6"/>
    <mergeCell ref="AA3:AA6"/>
    <mergeCell ref="AB3:AB6"/>
    <mergeCell ref="AC3:AC6"/>
    <mergeCell ref="AD3:AD6"/>
    <mergeCell ref="AE3:AE6"/>
    <mergeCell ref="AF3:AH3"/>
    <mergeCell ref="AI3:AK3"/>
    <mergeCell ref="AL3:AL6"/>
    <mergeCell ref="AM3:AM6"/>
    <mergeCell ref="AN3:AN6"/>
    <mergeCell ref="AO3:AO6"/>
    <mergeCell ref="C4:D4"/>
    <mergeCell ref="AF4:AH4"/>
    <mergeCell ref="AI4:AK4"/>
    <mergeCell ref="C5:D5"/>
    <mergeCell ref="AF5:AH5"/>
    <mergeCell ref="AI5:AK5"/>
    <mergeCell ref="C6:D6"/>
    <mergeCell ref="AF6:AH6"/>
    <mergeCell ref="AI6:AK6"/>
    <mergeCell ref="A7:B10"/>
    <mergeCell ref="C7:D7"/>
    <mergeCell ref="Z7:Z10"/>
    <mergeCell ref="AA7:AA10"/>
    <mergeCell ref="AB7:AB10"/>
    <mergeCell ref="AC7:AC10"/>
    <mergeCell ref="AD7:AD10"/>
    <mergeCell ref="AE7:AE10"/>
    <mergeCell ref="AF7:AH7"/>
    <mergeCell ref="AI7:AK7"/>
    <mergeCell ref="AL7:AL10"/>
    <mergeCell ref="AM7:AM10"/>
    <mergeCell ref="AN7:AN10"/>
    <mergeCell ref="AO7:AO10"/>
    <mergeCell ref="C8:D8"/>
    <mergeCell ref="AF8:AH8"/>
    <mergeCell ref="AI8:AK8"/>
    <mergeCell ref="C9:D9"/>
    <mergeCell ref="AF9:AH9"/>
    <mergeCell ref="AI9:AK9"/>
    <mergeCell ref="C10:D10"/>
    <mergeCell ref="AF10:AH10"/>
    <mergeCell ref="AI10:AK10"/>
    <mergeCell ref="A11:B14"/>
    <mergeCell ref="C11:D11"/>
    <mergeCell ref="Z11:Z14"/>
    <mergeCell ref="AA11:AA14"/>
    <mergeCell ref="AB11:AB14"/>
    <mergeCell ref="AC11:AC14"/>
    <mergeCell ref="AD11:AD14"/>
    <mergeCell ref="AE11:AE14"/>
    <mergeCell ref="AF11:AH11"/>
    <mergeCell ref="AI11:AK11"/>
    <mergeCell ref="AL11:AL14"/>
    <mergeCell ref="AM11:AM14"/>
    <mergeCell ref="AN11:AN14"/>
    <mergeCell ref="AO11:AO14"/>
    <mergeCell ref="C12:D12"/>
    <mergeCell ref="AF12:AH12"/>
    <mergeCell ref="AI12:AK12"/>
    <mergeCell ref="C13:D13"/>
    <mergeCell ref="AF13:AH13"/>
    <mergeCell ref="AI13:AK13"/>
    <mergeCell ref="C14:D14"/>
    <mergeCell ref="AF14:AH14"/>
    <mergeCell ref="AI14:AK14"/>
    <mergeCell ref="A15:B18"/>
    <mergeCell ref="C15:D15"/>
    <mergeCell ref="Z15:Z18"/>
    <mergeCell ref="AA15:AA18"/>
    <mergeCell ref="AB15:AB18"/>
    <mergeCell ref="AC15:AC18"/>
    <mergeCell ref="AD15:AD18"/>
    <mergeCell ref="AE15:AE18"/>
    <mergeCell ref="AF15:AH15"/>
    <mergeCell ref="AI15:AK15"/>
    <mergeCell ref="AL15:AL18"/>
    <mergeCell ref="AM15:AM18"/>
    <mergeCell ref="AN15:AN18"/>
    <mergeCell ref="AO15:AO18"/>
    <mergeCell ref="C16:D16"/>
    <mergeCell ref="AF16:AH16"/>
    <mergeCell ref="AI16:AK16"/>
    <mergeCell ref="C17:D17"/>
    <mergeCell ref="AF17:AH17"/>
    <mergeCell ref="AI17:AK17"/>
    <mergeCell ref="C18:D18"/>
    <mergeCell ref="AF18:AH18"/>
    <mergeCell ref="AI18:AK18"/>
    <mergeCell ref="AI19:AK19"/>
    <mergeCell ref="A20:B20"/>
    <mergeCell ref="C20:D20"/>
    <mergeCell ref="A21:B21"/>
    <mergeCell ref="C21:D21"/>
    <mergeCell ref="A22:B22"/>
    <mergeCell ref="C22:D22"/>
    <mergeCell ref="A23:B23"/>
    <mergeCell ref="C23:D23"/>
    <mergeCell ref="A25:D25"/>
  </mergeCells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Daniil Visotskiy</cp:lastModifiedBy>
  <dcterms:created xsi:type="dcterms:W3CDTF">2025-11-11T13:54:20Z</dcterms:created>
  <dcterms:modified xsi:type="dcterms:W3CDTF">2025-11-25T13:33:38Z</dcterms:modified>
</cp:coreProperties>
</file>