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3" sheetId="2" r:id="rId5"/>
  </sheets>
  <definedNames/>
  <calcPr/>
</workbook>
</file>

<file path=xl/sharedStrings.xml><?xml version="1.0" encoding="utf-8"?>
<sst xmlns="http://schemas.openxmlformats.org/spreadsheetml/2006/main" count="225" uniqueCount="81">
  <si>
    <t>Концепция</t>
  </si>
  <si>
    <t>Критерий</t>
  </si>
  <si>
    <t>Высоцкий</t>
  </si>
  <si>
    <t>Митраков</t>
  </si>
  <si>
    <t>Харитонов</t>
  </si>
  <si>
    <t>Объединенная оценка</t>
  </si>
  <si>
    <t>Нормализованная оценка</t>
  </si>
  <si>
    <t>Веса</t>
  </si>
  <si>
    <t>Взвешенная оценка</t>
  </si>
  <si>
    <t>А+</t>
  </si>
  <si>
    <t>А-</t>
  </si>
  <si>
    <t>Расстояние до А+</t>
  </si>
  <si>
    <t>Расстояние до А-</t>
  </si>
  <si>
    <t>d ∗ i</t>
  </si>
  <si>
    <t>d - i</t>
  </si>
  <si>
    <t>Коэффициент близости</t>
  </si>
  <si>
    <t>Ранг</t>
  </si>
  <si>
    <t>P</t>
  </si>
  <si>
    <t>O</t>
  </si>
  <si>
    <t>Opt</t>
  </si>
  <si>
    <t>Таск-трекер для малых команд</t>
  </si>
  <si>
    <t>C1</t>
  </si>
  <si>
    <t>C2</t>
  </si>
  <si>
    <t>C3</t>
  </si>
  <si>
    <t>C4</t>
  </si>
  <si>
    <t>Платформа для микро-обучения</t>
  </si>
  <si>
    <t>Сервис для совместного планирования поездок</t>
  </si>
  <si>
    <t>Система мониторинга здоровья растений</t>
  </si>
  <si>
    <t>C1 - Срок реализации</t>
  </si>
  <si>
    <t>Меньше - лучше</t>
  </si>
  <si>
    <t>C2 - Потенциал монетизации</t>
  </si>
  <si>
    <t>Больше - лучше</t>
  </si>
  <si>
    <t>C3 - Сложность технической реализации</t>
  </si>
  <si>
    <t>C4 - Уровень вовлеченности пользователей</t>
  </si>
  <si>
    <t>Оценки критериев</t>
  </si>
  <si>
    <t>Трехточечная оценка</t>
  </si>
  <si>
    <t>Идеальный кандидат</t>
  </si>
  <si>
    <t>Антиидеальный кандидат</t>
  </si>
  <si>
    <t>Пессимистичная</t>
  </si>
  <si>
    <t>(1, 3, 5)</t>
  </si>
  <si>
    <t>(2.15, 4.2, 9)</t>
  </si>
  <si>
    <t>(1.65, 3.29, 9)</t>
  </si>
  <si>
    <t>Ожидаемая</t>
  </si>
  <si>
    <t>(3, 5, 7)</t>
  </si>
  <si>
    <t>(1.29, 3, 7)</t>
  </si>
  <si>
    <t>(0.99, 2.15, 4.2)</t>
  </si>
  <si>
    <t>Оптимистичная</t>
  </si>
  <si>
    <t>(5, 7, 9)</t>
  </si>
  <si>
    <t>(0.14, 0.81, 5)</t>
  </si>
  <si>
    <t>(0.11, 0.54, 1.65)</t>
  </si>
  <si>
    <t>(0.42, 1, 2.31</t>
  </si>
  <si>
    <t>(0.33, 0.9, 2.31)</t>
  </si>
  <si>
    <t>Альтернативы</t>
  </si>
  <si>
    <t>Мария</t>
  </si>
  <si>
    <t>Максим</t>
  </si>
  <si>
    <t>Вячеслав</t>
  </si>
  <si>
    <t>Расстояние до идеального кандидата</t>
  </si>
  <si>
    <t>Расстояние до антиидеального кандидата</t>
  </si>
  <si>
    <t>d − i</t>
  </si>
  <si>
    <t>"CookSmart"</t>
  </si>
  <si>
    <t>(3, 6.33, 9)</t>
  </si>
  <si>
    <t>(0.33, 0.47, 1)</t>
  </si>
  <si>
    <t>(0.43, 0.6, 1)</t>
  </si>
  <si>
    <t>(1.29, 3.0, 7)</t>
  </si>
  <si>
    <t>(0.14, 0.2, 0.33)</t>
  </si>
  <si>
    <t>(0.14, 0.6, 1.65)</t>
  </si>
  <si>
    <t>(0.42, 1.0, 2.31)</t>
  </si>
  <si>
    <t>"MovieNight"</t>
  </si>
  <si>
    <t>(0.33, 0.43, 0.6)</t>
  </si>
  <si>
    <t>(1, 3.66, 7)</t>
  </si>
  <si>
    <t>(0.14, 0.27, 1)</t>
  </si>
  <si>
    <t>(3, 5.66, 9)</t>
  </si>
  <si>
    <t>(0.11, 0.18, 0.33)</t>
  </si>
  <si>
    <t>"GiftIdeas"</t>
  </si>
  <si>
    <t>(0.33, 0.53, 1)</t>
  </si>
  <si>
    <t>(0.99, 2.65, 7)</t>
  </si>
  <si>
    <t>"IdeaVault"</t>
  </si>
  <si>
    <t>(0.11, 0.16, 0.33)</t>
  </si>
  <si>
    <t>(0.11, 0.48, 1.65)</t>
  </si>
  <si>
    <t>(0.2, 0.33, 1)</t>
  </si>
  <si>
    <t>(0.6, 1.65, 7)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</si>
</sst>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AEA7"/>
        <bgColor rgb="FF00AEA7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3BDCD6"/>
        <bgColor rgb="FF3BDCD6"/>
      </patternFill>
    </fill>
    <fill>
      <patternFill patternType="solid">
        <fgColor rgb="FF9AF1ED"/>
        <bgColor rgb="FF9AF1E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51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2" fontId="1" numFmtId="0" xfId="0" applyAlignment="1" applyBorder="1" applyFont="1">
      <alignment horizontal="center" readingOrder="0" vertical="center"/>
    </xf>
    <xf borderId="3" fillId="3" fontId="1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3" fillId="3" fontId="1" numFmtId="0" xfId="0" applyAlignment="1" applyBorder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6" fillId="3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1" fillId="3" fontId="1" numFmtId="0" xfId="0" applyAlignment="1" applyBorder="1" applyFont="1">
      <alignment horizontal="center" readingOrder="0" vertical="center"/>
    </xf>
    <xf borderId="9" fillId="3" fontId="1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horizontal="center" readingOrder="0" vertical="center"/>
    </xf>
    <xf borderId="8" fillId="3" fontId="1" numFmtId="0" xfId="0" applyAlignment="1" applyBorder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10" fillId="4" fontId="1" numFmtId="0" xfId="0" applyAlignment="1" applyBorder="1" applyFont="1">
      <alignment horizontal="center" readingOrder="0" vertical="center"/>
    </xf>
    <xf borderId="12" fillId="4" fontId="1" numFmtId="0" xfId="0" applyAlignment="1" applyBorder="1" applyFont="1">
      <alignment horizontal="center" readingOrder="0" vertical="center"/>
    </xf>
    <xf borderId="11" fillId="4" fontId="1" numFmtId="0" xfId="0" applyAlignment="1" applyBorder="1" applyFont="1">
      <alignment horizontal="center" readingOrder="0" vertical="center"/>
    </xf>
    <xf borderId="13" fillId="4" fontId="1" numFmtId="0" xfId="0" applyAlignment="1" applyBorder="1" applyFont="1">
      <alignment horizontal="center" readingOrder="0" vertical="center"/>
    </xf>
    <xf borderId="14" fillId="4" fontId="1" numFmtId="0" xfId="0" applyAlignment="1" applyBorder="1" applyFont="1">
      <alignment horizontal="center" readingOrder="0" vertical="center"/>
    </xf>
    <xf borderId="15" fillId="4" fontId="1" numFmtId="0" xfId="0" applyAlignment="1" applyBorder="1" applyFont="1">
      <alignment horizontal="center" readingOrder="0" vertical="center"/>
    </xf>
    <xf borderId="16" fillId="4" fontId="1" numFmtId="0" xfId="0" applyAlignment="1" applyBorder="1" applyFont="1">
      <alignment horizontal="center" readingOrder="0" vertical="center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12" fillId="0" fontId="2" numFmtId="0" xfId="0" applyBorder="1" applyFont="1"/>
    <xf borderId="1" fillId="5" fontId="1" numFmtId="0" xfId="0" applyAlignment="1" applyBorder="1" applyFill="1" applyFont="1">
      <alignment horizontal="center" readingOrder="0" vertical="center"/>
    </xf>
    <xf borderId="20" fillId="6" fontId="1" numFmtId="0" xfId="0" applyAlignment="1" applyBorder="1" applyFill="1" applyFont="1">
      <alignment readingOrder="0"/>
    </xf>
    <xf borderId="21" fillId="0" fontId="3" numFmtId="0" xfId="0" applyAlignment="1" applyBorder="1" applyFont="1">
      <alignment horizontal="center" readingOrder="0"/>
    </xf>
    <xf borderId="22" fillId="0" fontId="3" numFmtId="0" xfId="0" applyAlignment="1" applyBorder="1" applyFont="1">
      <alignment horizontal="center" readingOrder="0"/>
    </xf>
    <xf borderId="20" fillId="0" fontId="3" numFmtId="0" xfId="0" applyAlignment="1" applyBorder="1" applyFont="1">
      <alignment horizontal="center" readingOrder="0"/>
    </xf>
    <xf borderId="21" fillId="0" fontId="3" numFmtId="0" xfId="0" applyAlignment="1" applyBorder="1" applyFont="1">
      <alignment horizontal="center"/>
    </xf>
    <xf borderId="22" fillId="0" fontId="3" numFmtId="4" xfId="0" applyAlignment="1" applyBorder="1" applyFont="1" applyNumberFormat="1">
      <alignment horizontal="center"/>
    </xf>
    <xf borderId="20" fillId="0" fontId="3" numFmtId="0" xfId="0" applyAlignment="1" applyBorder="1" applyFont="1">
      <alignment horizontal="center"/>
    </xf>
    <xf borderId="21" fillId="0" fontId="3" numFmtId="4" xfId="0" applyAlignment="1" applyBorder="1" applyFont="1" applyNumberFormat="1">
      <alignment horizontal="center"/>
    </xf>
    <xf borderId="20" fillId="0" fontId="3" numFmtId="4" xfId="0" applyAlignment="1" applyBorder="1" applyFont="1" applyNumberFormat="1">
      <alignment horizontal="center"/>
    </xf>
    <xf borderId="1" fillId="0" fontId="3" numFmtId="4" xfId="0" applyAlignment="1" applyBorder="1" applyFont="1" applyNumberFormat="1">
      <alignment horizontal="center" vertical="center"/>
    </xf>
    <xf borderId="9" fillId="0" fontId="3" numFmtId="4" xfId="0" applyAlignment="1" applyBorder="1" applyFont="1" applyNumberFormat="1">
      <alignment horizontal="center" vertical="center"/>
    </xf>
    <xf borderId="2" fillId="0" fontId="3" numFmtId="4" xfId="0" applyAlignment="1" applyBorder="1" applyFont="1" applyNumberFormat="1">
      <alignment horizontal="center" vertical="center"/>
    </xf>
    <xf borderId="23" fillId="0" fontId="3" numFmtId="4" xfId="0" applyAlignment="1" applyBorder="1" applyFont="1" applyNumberFormat="1">
      <alignment horizontal="center"/>
    </xf>
    <xf borderId="24" fillId="0" fontId="2" numFmtId="0" xfId="0" applyBorder="1" applyFont="1"/>
    <xf borderId="25" fillId="0" fontId="2" numFmtId="0" xfId="0" applyBorder="1" applyFont="1"/>
    <xf borderId="8" fillId="0" fontId="1" numFmtId="1" xfId="0" applyAlignment="1" applyBorder="1" applyFont="1" applyNumberForma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26" fillId="0" fontId="2" numFmtId="0" xfId="0" applyBorder="1" applyFont="1"/>
    <xf borderId="27" fillId="6" fontId="1" numFmtId="0" xfId="0" applyAlignment="1" applyBorder="1" applyFont="1">
      <alignment readingOrder="0"/>
    </xf>
    <xf borderId="28" fillId="0" fontId="3" numFmtId="0" xfId="0" applyAlignment="1" applyBorder="1" applyFont="1">
      <alignment horizontal="center" readingOrder="0"/>
    </xf>
    <xf borderId="29" fillId="0" fontId="3" numFmtId="0" xfId="0" applyAlignment="1" applyBorder="1" applyFont="1">
      <alignment horizontal="center" readingOrder="0"/>
    </xf>
    <xf borderId="27" fillId="0" fontId="3" numFmtId="0" xfId="0" applyAlignment="1" applyBorder="1" applyFont="1">
      <alignment horizontal="center" readingOrder="0"/>
    </xf>
    <xf borderId="28" fillId="0" fontId="3" numFmtId="0" xfId="0" applyAlignment="1" applyBorder="1" applyFont="1">
      <alignment horizontal="center"/>
    </xf>
    <xf borderId="29" fillId="0" fontId="3" numFmtId="4" xfId="0" applyAlignment="1" applyBorder="1" applyFont="1" applyNumberFormat="1">
      <alignment horizontal="center"/>
    </xf>
    <xf borderId="27" fillId="0" fontId="3" numFmtId="0" xfId="0" applyAlignment="1" applyBorder="1" applyFont="1">
      <alignment horizontal="center"/>
    </xf>
    <xf borderId="28" fillId="0" fontId="3" numFmtId="4" xfId="0" applyAlignment="1" applyBorder="1" applyFont="1" applyNumberFormat="1">
      <alignment horizontal="center"/>
    </xf>
    <xf borderId="27" fillId="0" fontId="3" numFmtId="4" xfId="0" applyAlignment="1" applyBorder="1" applyFont="1" applyNumberFormat="1">
      <alignment horizontal="center"/>
    </xf>
    <xf borderId="30" fillId="0" fontId="2" numFmtId="0" xfId="0" applyBorder="1" applyFont="1"/>
    <xf borderId="31" fillId="0" fontId="2" numFmtId="0" xfId="0" applyBorder="1" applyFont="1"/>
    <xf borderId="32" fillId="0" fontId="3" numFmtId="4" xfId="0" applyAlignment="1" applyBorder="1" applyFont="1" applyNumberFormat="1">
      <alignment horizontal="center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6" fontId="1" numFmtId="0" xfId="0" applyAlignment="1" applyBorder="1" applyFont="1">
      <alignment readingOrder="0"/>
    </xf>
    <xf borderId="37" fillId="0" fontId="3" numFmtId="0" xfId="0" applyAlignment="1" applyBorder="1" applyFont="1">
      <alignment horizontal="center" readingOrder="0"/>
    </xf>
    <xf borderId="38" fillId="0" fontId="3" numFmtId="0" xfId="0" applyAlignment="1" applyBorder="1" applyFont="1">
      <alignment horizontal="center" readingOrder="0"/>
    </xf>
    <xf borderId="36" fillId="0" fontId="3" numFmtId="0" xfId="0" applyAlignment="1" applyBorder="1" applyFont="1">
      <alignment horizontal="center" readingOrder="0"/>
    </xf>
    <xf borderId="37" fillId="0" fontId="3" numFmtId="0" xfId="0" applyAlignment="1" applyBorder="1" applyFont="1">
      <alignment horizontal="center"/>
    </xf>
    <xf borderId="38" fillId="0" fontId="3" numFmtId="4" xfId="0" applyAlignment="1" applyBorder="1" applyFont="1" applyNumberFormat="1">
      <alignment horizontal="center"/>
    </xf>
    <xf borderId="36" fillId="0" fontId="3" numFmtId="0" xfId="0" applyAlignment="1" applyBorder="1" applyFont="1">
      <alignment horizontal="center"/>
    </xf>
    <xf borderId="37" fillId="0" fontId="3" numFmtId="4" xfId="0" applyAlignment="1" applyBorder="1" applyFont="1" applyNumberFormat="1">
      <alignment horizontal="center"/>
    </xf>
    <xf borderId="36" fillId="0" fontId="3" numFmtId="4" xfId="0" applyAlignment="1" applyBorder="1" applyFont="1" applyNumberFormat="1">
      <alignment horizontal="center"/>
    </xf>
    <xf borderId="39" fillId="0" fontId="3" numFmtId="4" xfId="0" applyAlignment="1" applyBorder="1" applyFont="1" applyNumberFormat="1">
      <alignment horizontal="center"/>
    </xf>
    <xf borderId="40" fillId="0" fontId="2" numFmtId="0" xfId="0" applyBorder="1" applyFont="1"/>
    <xf borderId="41" fillId="0" fontId="2" numFmtId="0" xfId="0" applyBorder="1" applyFont="1"/>
    <xf borderId="42" fillId="0" fontId="3" numFmtId="0" xfId="0" applyAlignment="1" applyBorder="1" applyFont="1">
      <alignment horizontal="center" readingOrder="0"/>
    </xf>
    <xf borderId="43" fillId="0" fontId="3" numFmtId="0" xfId="0" applyAlignment="1" applyBorder="1" applyFont="1">
      <alignment horizontal="center" readingOrder="0"/>
    </xf>
    <xf borderId="44" fillId="0" fontId="3" numFmtId="0" xfId="0" applyAlignment="1" applyBorder="1" applyFont="1">
      <alignment horizontal="center" readingOrder="0"/>
    </xf>
    <xf borderId="45" fillId="0" fontId="3" numFmtId="0" xfId="0" applyAlignment="1" applyBorder="1" applyFont="1">
      <alignment horizontal="center" readingOrder="0"/>
    </xf>
    <xf borderId="46" fillId="0" fontId="3" numFmtId="0" xfId="0" applyAlignment="1" applyBorder="1" applyFont="1">
      <alignment horizontal="center" readingOrder="0"/>
    </xf>
    <xf borderId="47" fillId="0" fontId="3" numFmtId="0" xfId="0" applyAlignment="1" applyBorder="1" applyFont="1">
      <alignment horizontal="center" readingOrder="0"/>
    </xf>
    <xf borderId="26" fillId="5" fontId="1" numFmtId="0" xfId="0" applyAlignment="1" applyBorder="1" applyFont="1">
      <alignment horizontal="center" readingOrder="0" vertical="center"/>
    </xf>
    <xf borderId="44" fillId="6" fontId="1" numFmtId="0" xfId="0" applyAlignment="1" applyBorder="1" applyFont="1">
      <alignment readingOrder="0"/>
    </xf>
    <xf borderId="42" fillId="0" fontId="3" numFmtId="0" xfId="0" applyAlignment="1" applyBorder="1" applyFont="1">
      <alignment horizontal="center"/>
    </xf>
    <xf borderId="43" fillId="0" fontId="3" numFmtId="4" xfId="0" applyAlignment="1" applyBorder="1" applyFont="1" applyNumberFormat="1">
      <alignment horizontal="center"/>
    </xf>
    <xf borderId="44" fillId="0" fontId="3" numFmtId="0" xfId="0" applyAlignment="1" applyBorder="1" applyFont="1">
      <alignment horizontal="center"/>
    </xf>
    <xf borderId="42" fillId="0" fontId="3" numFmtId="4" xfId="0" applyAlignment="1" applyBorder="1" applyFont="1" applyNumberFormat="1">
      <alignment horizontal="center"/>
    </xf>
    <xf borderId="44" fillId="0" fontId="3" numFmtId="4" xfId="0" applyAlignment="1" applyBorder="1" applyFont="1" applyNumberFormat="1">
      <alignment horizontal="center"/>
    </xf>
    <xf borderId="26" fillId="0" fontId="3" numFmtId="4" xfId="0" applyAlignment="1" applyBorder="1" applyFont="1" applyNumberFormat="1">
      <alignment horizontal="center" vertical="center"/>
    </xf>
    <xf borderId="30" fillId="0" fontId="3" numFmtId="4" xfId="0" applyAlignment="1" applyBorder="1" applyFont="1" applyNumberFormat="1">
      <alignment horizontal="center" vertical="center"/>
    </xf>
    <xf borderId="31" fillId="0" fontId="3" numFmtId="4" xfId="0" applyAlignment="1" applyBorder="1" applyFont="1" applyNumberFormat="1">
      <alignment horizontal="center" vertical="center"/>
    </xf>
    <xf borderId="48" fillId="0" fontId="3" numFmtId="4" xfId="0" applyAlignment="1" applyBorder="1" applyFont="1" applyNumberFormat="1">
      <alignment horizontal="center"/>
    </xf>
    <xf borderId="49" fillId="0" fontId="2" numFmtId="0" xfId="0" applyBorder="1" applyFont="1"/>
    <xf borderId="50" fillId="0" fontId="2" numFmtId="0" xfId="0" applyBorder="1" applyFont="1"/>
    <xf borderId="35" fillId="0" fontId="1" numFmtId="1" xfId="0" applyAlignment="1" applyBorder="1" applyFont="1" applyNumberFormat="1">
      <alignment horizontal="center" vertical="center"/>
    </xf>
    <xf borderId="29" fillId="6" fontId="1" numFmtId="0" xfId="0" applyAlignment="1" applyBorder="1" applyFont="1">
      <alignment readingOrder="0"/>
    </xf>
    <xf borderId="29" fillId="7" fontId="1" numFmtId="0" xfId="0" applyAlignment="1" applyBorder="1" applyFill="1" applyFont="1">
      <alignment readingOrder="0"/>
    </xf>
    <xf borderId="29" fillId="0" fontId="3" numFmtId="0" xfId="0" applyAlignment="1" applyBorder="1" applyFont="1">
      <alignment readingOrder="0"/>
    </xf>
    <xf borderId="29" fillId="7" fontId="3" numFmtId="0" xfId="0" applyAlignment="1" applyBorder="1" applyFont="1">
      <alignment readingOrder="0"/>
    </xf>
    <xf borderId="29" fillId="8" fontId="1" numFmtId="0" xfId="0" applyAlignment="1" applyBorder="1" applyFill="1" applyFont="1">
      <alignment readingOrder="0"/>
    </xf>
    <xf borderId="0" fillId="8" fontId="1" numFmtId="0" xfId="0" applyAlignment="1" applyFont="1">
      <alignment readingOrder="0"/>
    </xf>
    <xf borderId="0" fillId="7" fontId="1" numFmtId="0" xfId="0" applyAlignment="1" applyFont="1">
      <alignment readingOrder="0"/>
    </xf>
    <xf borderId="46" fillId="7" fontId="3" numFmtId="0" xfId="0" applyAlignment="1" applyBorder="1" applyFont="1">
      <alignment horizontal="center" readingOrder="0" vertical="center"/>
    </xf>
    <xf borderId="29" fillId="4" fontId="0" numFmtId="0" xfId="0" applyAlignment="1" applyBorder="1" applyFont="1">
      <alignment readingOrder="0"/>
    </xf>
    <xf borderId="46" fillId="4" fontId="0" numFmtId="4" xfId="0" applyAlignment="1" applyBorder="1" applyFont="1" applyNumberFormat="1">
      <alignment readingOrder="0"/>
    </xf>
    <xf borderId="46" fillId="0" fontId="3" numFmtId="4" xfId="0" applyBorder="1" applyFont="1" applyNumberFormat="1"/>
    <xf borderId="46" fillId="0" fontId="1" numFmtId="0" xfId="0" applyAlignment="1" applyBorder="1" applyFont="1">
      <alignment horizontal="center" readingOrder="0" vertical="center"/>
    </xf>
    <xf borderId="43" fillId="0" fontId="2" numFmtId="0" xfId="0" applyBorder="1" applyFont="1"/>
    <xf borderId="0" fillId="4" fontId="3" numFmtId="0" xfId="0" applyFont="1"/>
    <xf borderId="0" fillId="4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3.38"/>
    <col customWidth="1" min="2" max="2" width="16.13"/>
    <col customWidth="1" min="21" max="23" width="16.75"/>
    <col customWidth="1" min="24" max="29" width="10.13"/>
    <col customWidth="1" min="30" max="35" width="6.38"/>
    <col customWidth="1" min="36" max="37" width="5.25"/>
    <col customWidth="1" min="38" max="38" width="28.88"/>
    <col customWidth="1" min="39" max="44" width="8.75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3" t="s">
        <v>3</v>
      </c>
      <c r="G1" s="4"/>
      <c r="H1" s="5"/>
      <c r="I1" s="3" t="s">
        <v>4</v>
      </c>
      <c r="J1" s="4"/>
      <c r="K1" s="5"/>
      <c r="L1" s="6" t="s">
        <v>5</v>
      </c>
      <c r="M1" s="4"/>
      <c r="N1" s="5"/>
      <c r="O1" s="6" t="s">
        <v>6</v>
      </c>
      <c r="P1" s="4"/>
      <c r="Q1" s="5"/>
      <c r="R1" s="6" t="s">
        <v>7</v>
      </c>
      <c r="S1" s="4"/>
      <c r="T1" s="5"/>
      <c r="U1" s="6" t="s">
        <v>8</v>
      </c>
      <c r="V1" s="4"/>
      <c r="W1" s="5"/>
      <c r="X1" s="6" t="s">
        <v>9</v>
      </c>
      <c r="Y1" s="4"/>
      <c r="Z1" s="5"/>
      <c r="AA1" s="7" t="s">
        <v>10</v>
      </c>
      <c r="AB1" s="4"/>
      <c r="AC1" s="5"/>
      <c r="AD1" s="8" t="s">
        <v>11</v>
      </c>
      <c r="AE1" s="9"/>
      <c r="AF1" s="10"/>
      <c r="AG1" s="8" t="s">
        <v>12</v>
      </c>
      <c r="AH1" s="9"/>
      <c r="AI1" s="10"/>
      <c r="AJ1" s="11" t="s">
        <v>13</v>
      </c>
      <c r="AK1" s="12" t="s">
        <v>14</v>
      </c>
      <c r="AL1" s="13" t="s">
        <v>15</v>
      </c>
      <c r="AM1" s="14" t="s">
        <v>16</v>
      </c>
      <c r="AN1" s="15"/>
      <c r="AO1" s="15"/>
      <c r="AP1" s="15"/>
      <c r="AQ1" s="15"/>
      <c r="AR1" s="15"/>
    </row>
    <row r="2">
      <c r="A2" s="16"/>
      <c r="B2" s="17"/>
      <c r="C2" s="18" t="s">
        <v>17</v>
      </c>
      <c r="D2" s="19" t="s">
        <v>18</v>
      </c>
      <c r="E2" s="20" t="s">
        <v>19</v>
      </c>
      <c r="F2" s="21" t="s">
        <v>17</v>
      </c>
      <c r="G2" s="22" t="s">
        <v>18</v>
      </c>
      <c r="H2" s="23" t="s">
        <v>19</v>
      </c>
      <c r="I2" s="21" t="s">
        <v>17</v>
      </c>
      <c r="J2" s="22" t="s">
        <v>18</v>
      </c>
      <c r="K2" s="23" t="s">
        <v>19</v>
      </c>
      <c r="L2" s="18" t="s">
        <v>17</v>
      </c>
      <c r="M2" s="19" t="s">
        <v>18</v>
      </c>
      <c r="N2" s="20" t="s">
        <v>19</v>
      </c>
      <c r="O2" s="18" t="s">
        <v>17</v>
      </c>
      <c r="P2" s="19" t="s">
        <v>18</v>
      </c>
      <c r="Q2" s="20" t="s">
        <v>19</v>
      </c>
      <c r="R2" s="18" t="s">
        <v>17</v>
      </c>
      <c r="S2" s="19" t="s">
        <v>18</v>
      </c>
      <c r="T2" s="20" t="s">
        <v>19</v>
      </c>
      <c r="U2" s="18" t="s">
        <v>17</v>
      </c>
      <c r="V2" s="19" t="s">
        <v>18</v>
      </c>
      <c r="W2" s="20" t="s">
        <v>19</v>
      </c>
      <c r="X2" s="18" t="s">
        <v>17</v>
      </c>
      <c r="Y2" s="19" t="s">
        <v>18</v>
      </c>
      <c r="Z2" s="20" t="s">
        <v>19</v>
      </c>
      <c r="AA2" s="24" t="s">
        <v>17</v>
      </c>
      <c r="AB2" s="19" t="s">
        <v>18</v>
      </c>
      <c r="AC2" s="20" t="s">
        <v>19</v>
      </c>
      <c r="AD2" s="25"/>
      <c r="AE2" s="26"/>
      <c r="AF2" s="27"/>
      <c r="AG2" s="25"/>
      <c r="AH2" s="26"/>
      <c r="AI2" s="27"/>
      <c r="AJ2" s="16"/>
      <c r="AK2" s="28"/>
      <c r="AL2" s="17"/>
      <c r="AM2" s="27"/>
      <c r="AN2" s="15"/>
      <c r="AO2" s="15"/>
      <c r="AP2" s="15"/>
      <c r="AQ2" s="15"/>
      <c r="AR2" s="15"/>
    </row>
    <row r="3">
      <c r="A3" s="29" t="s">
        <v>20</v>
      </c>
      <c r="B3" s="30" t="s">
        <v>21</v>
      </c>
      <c r="C3" s="31">
        <v>2.0</v>
      </c>
      <c r="D3" s="32">
        <v>4.0</v>
      </c>
      <c r="E3" s="33">
        <v>6.0</v>
      </c>
      <c r="F3" s="31">
        <v>3.0</v>
      </c>
      <c r="G3" s="32">
        <v>5.0</v>
      </c>
      <c r="H3" s="33">
        <v>7.0</v>
      </c>
      <c r="I3" s="31">
        <v>4.0</v>
      </c>
      <c r="J3" s="32">
        <v>6.0</v>
      </c>
      <c r="K3" s="33">
        <v>8.0</v>
      </c>
      <c r="L3" s="34">
        <f t="shared" ref="L3:L18" si="4">MIN(C3,F3,I3)</f>
        <v>2</v>
      </c>
      <c r="M3" s="35">
        <f t="shared" ref="M3:M18" si="5">AVERAGE(D3,G3,J3)</f>
        <v>5</v>
      </c>
      <c r="N3" s="36">
        <f t="shared" ref="N3:N18" si="6">MAX(E3,H3,K3)</f>
        <v>8</v>
      </c>
      <c r="O3" s="37">
        <f>MIN($L$3,$L$7,$L$11,$L$15)/$N3</f>
        <v>0.25</v>
      </c>
      <c r="P3" s="35">
        <f>MIN($L$3,$L$7,$L$11,$L$15)/$M3</f>
        <v>0.4</v>
      </c>
      <c r="Q3" s="38">
        <f>MIN($L$3,$L$7,$L$11,$L$15)/$L3</f>
        <v>1</v>
      </c>
      <c r="R3" s="31">
        <v>5.0</v>
      </c>
      <c r="S3" s="32">
        <v>7.0</v>
      </c>
      <c r="T3" s="33">
        <v>9.0</v>
      </c>
      <c r="U3" s="37">
        <f t="shared" ref="U3:W3" si="1">O3*R3</f>
        <v>1.25</v>
      </c>
      <c r="V3" s="35">
        <f t="shared" si="1"/>
        <v>2.8</v>
      </c>
      <c r="W3" s="38">
        <f t="shared" si="1"/>
        <v>9</v>
      </c>
      <c r="X3" s="39">
        <f t="shared" ref="X3:Z3" si="2">MAX(U3,U7,U11,U15)</f>
        <v>1.25</v>
      </c>
      <c r="Y3" s="40">
        <f t="shared" si="2"/>
        <v>2.8</v>
      </c>
      <c r="Z3" s="41">
        <f t="shared" si="2"/>
        <v>9</v>
      </c>
      <c r="AA3" s="39">
        <f t="shared" ref="AA3:AC3" si="3">MIN(U3,U7,U11,U15)</f>
        <v>1</v>
      </c>
      <c r="AB3" s="40">
        <f t="shared" si="3"/>
        <v>1.75</v>
      </c>
      <c r="AC3" s="41">
        <f t="shared" si="3"/>
        <v>3</v>
      </c>
      <c r="AD3" s="42">
        <f>SQRT((1/3)*((U3-$X$3)*(U3-$X$3)+(V3-$Y$3)*(V3-$Y$3)+($Z$3-W3)*($Z$3-W3)))</f>
        <v>0</v>
      </c>
      <c r="AE3" s="43"/>
      <c r="AF3" s="44"/>
      <c r="AG3" s="42">
        <f>SQRT((1/3)*((U3-$AA$3)*(U3-$AA$3)+(V3-$AB$3)*(V3-$AB$3)+($AC$3-W3)*($AC$3-W3)))</f>
        <v>3.519706427</v>
      </c>
      <c r="AH3" s="43"/>
      <c r="AI3" s="44"/>
      <c r="AJ3" s="39">
        <f>SUM(AD3:AF6)</f>
        <v>2.489037468</v>
      </c>
      <c r="AK3" s="40">
        <f>SUM(AF3:AH6)</f>
        <v>7.949576997</v>
      </c>
      <c r="AL3" s="41">
        <f>AK3/(AJ3+AK3)</f>
        <v>0.7615548044</v>
      </c>
      <c r="AM3" s="45">
        <f>RANK(AL3,$AL$3:$AL$18)</f>
        <v>1</v>
      </c>
      <c r="AN3" s="46"/>
      <c r="AO3" s="46"/>
      <c r="AP3" s="46"/>
      <c r="AQ3" s="46"/>
      <c r="AR3" s="46"/>
    </row>
    <row r="4">
      <c r="A4" s="47"/>
      <c r="B4" s="48" t="s">
        <v>22</v>
      </c>
      <c r="C4" s="49">
        <v>5.0</v>
      </c>
      <c r="D4" s="50">
        <v>7.0</v>
      </c>
      <c r="E4" s="51">
        <v>9.0</v>
      </c>
      <c r="F4" s="49">
        <v>3.0</v>
      </c>
      <c r="G4" s="50">
        <v>5.0</v>
      </c>
      <c r="H4" s="51">
        <v>7.0</v>
      </c>
      <c r="I4" s="49">
        <v>4.0</v>
      </c>
      <c r="J4" s="50">
        <v>6.0</v>
      </c>
      <c r="K4" s="51">
        <v>8.0</v>
      </c>
      <c r="L4" s="52">
        <f t="shared" si="4"/>
        <v>3</v>
      </c>
      <c r="M4" s="53">
        <f t="shared" si="5"/>
        <v>6</v>
      </c>
      <c r="N4" s="54">
        <f t="shared" si="6"/>
        <v>9</v>
      </c>
      <c r="O4" s="55">
        <f>MIN($L$4,$L$8,$L$12,$L$16)/$N4</f>
        <v>0.2222222222</v>
      </c>
      <c r="P4" s="53">
        <f>MIN($L$4,$L$8,$L$12,$L$16)/$M4</f>
        <v>0.3333333333</v>
      </c>
      <c r="Q4" s="56">
        <f>MIN($L$4,$L$8,$L$12,$L$16)/$L4</f>
        <v>0.6666666667</v>
      </c>
      <c r="R4" s="49">
        <v>3.0</v>
      </c>
      <c r="S4" s="50">
        <v>5.0</v>
      </c>
      <c r="T4" s="51">
        <v>7.0</v>
      </c>
      <c r="U4" s="55">
        <f t="shared" ref="U4:W4" si="7">O4*R4</f>
        <v>0.6666666667</v>
      </c>
      <c r="V4" s="53">
        <f t="shared" si="7"/>
        <v>1.666666667</v>
      </c>
      <c r="W4" s="56">
        <f t="shared" si="7"/>
        <v>4.666666667</v>
      </c>
      <c r="X4" s="47"/>
      <c r="Y4" s="57"/>
      <c r="Z4" s="58"/>
      <c r="AA4" s="47"/>
      <c r="AB4" s="57"/>
      <c r="AC4" s="58"/>
      <c r="AD4" s="59">
        <f>SQRT((1/3)*((U4-$X$7)*(U4-$X$7)+(V4-$Y$7)*(V4-$Y$7)+($Z$7-W4)*($Z$7-W4)))</f>
        <v>1.361677887</v>
      </c>
      <c r="AE4" s="60"/>
      <c r="AF4" s="61"/>
      <c r="AG4" s="59">
        <f>SQRT((1/3)*((U4-$AA$7)*(U4-$AA$7)+(V4-$AB$7)*(V4-$AB$7)+($AC$7-W4)*($AC$7-W4)))</f>
        <v>1.086451991</v>
      </c>
      <c r="AH4" s="60"/>
      <c r="AI4" s="61"/>
      <c r="AJ4" s="47"/>
      <c r="AK4" s="57"/>
      <c r="AL4" s="58"/>
      <c r="AM4" s="62"/>
      <c r="AN4" s="46"/>
      <c r="AO4" s="46"/>
      <c r="AP4" s="46"/>
      <c r="AQ4" s="46"/>
      <c r="AR4" s="46"/>
    </row>
    <row r="5">
      <c r="A5" s="47"/>
      <c r="B5" s="48" t="s">
        <v>23</v>
      </c>
      <c r="C5" s="49">
        <v>2.0</v>
      </c>
      <c r="D5" s="50">
        <v>3.0</v>
      </c>
      <c r="E5" s="51">
        <v>5.0</v>
      </c>
      <c r="F5" s="49">
        <v>3.0</v>
      </c>
      <c r="G5" s="50">
        <v>5.0</v>
      </c>
      <c r="H5" s="51">
        <v>7.0</v>
      </c>
      <c r="I5" s="49">
        <v>1.0</v>
      </c>
      <c r="J5" s="50">
        <v>4.0</v>
      </c>
      <c r="K5" s="51">
        <v>6.0</v>
      </c>
      <c r="L5" s="52">
        <f t="shared" si="4"/>
        <v>1</v>
      </c>
      <c r="M5" s="53">
        <f t="shared" si="5"/>
        <v>4</v>
      </c>
      <c r="N5" s="54">
        <f t="shared" si="6"/>
        <v>7</v>
      </c>
      <c r="O5" s="55">
        <f>MIN($L$5,$L$9,$L$13,$L$17)/$N5</f>
        <v>0.1428571429</v>
      </c>
      <c r="P5" s="53">
        <f>MIN($L$5,$L$9,$L$13,$L$17)/$M5</f>
        <v>0.25</v>
      </c>
      <c r="Q5" s="56">
        <f>MIN($L$5,$L$9,$L$13,$L$17)/$L5</f>
        <v>1</v>
      </c>
      <c r="R5" s="49">
        <v>1.0</v>
      </c>
      <c r="S5" s="50">
        <v>3.0</v>
      </c>
      <c r="T5" s="51">
        <v>5.0</v>
      </c>
      <c r="U5" s="55">
        <f t="shared" ref="U5:W5" si="8">O5*R5</f>
        <v>0.1428571429</v>
      </c>
      <c r="V5" s="53">
        <f t="shared" si="8"/>
        <v>0.75</v>
      </c>
      <c r="W5" s="56">
        <f t="shared" si="8"/>
        <v>5</v>
      </c>
      <c r="X5" s="47"/>
      <c r="Y5" s="57"/>
      <c r="Z5" s="58"/>
      <c r="AA5" s="47"/>
      <c r="AB5" s="57"/>
      <c r="AC5" s="58"/>
      <c r="AD5" s="59">
        <f>SQRT((1/3)*((U5-$X$11)*(U5-$X$11)+(V5-$Y$11)*(V5-$Y$11)+($Z$11-W5)*($Z$11-W5)))</f>
        <v>0</v>
      </c>
      <c r="AE5" s="60"/>
      <c r="AF5" s="61"/>
      <c r="AG5" s="59">
        <f>SQRT((1/3)*((U5-$AA$11)*(U5-$AA$11)+(V5-$AB$11)*(V5-$AB$11)+($AC$11-W5)*($AC$11-W5)))</f>
        <v>2.319659582</v>
      </c>
      <c r="AH5" s="60"/>
      <c r="AI5" s="61"/>
      <c r="AJ5" s="47"/>
      <c r="AK5" s="57"/>
      <c r="AL5" s="58"/>
      <c r="AM5" s="62"/>
      <c r="AN5" s="46"/>
      <c r="AO5" s="46"/>
      <c r="AP5" s="46"/>
      <c r="AQ5" s="46"/>
      <c r="AR5" s="46"/>
    </row>
    <row r="6">
      <c r="A6" s="16"/>
      <c r="B6" s="63" t="s">
        <v>24</v>
      </c>
      <c r="C6" s="64">
        <v>6.0</v>
      </c>
      <c r="D6" s="65">
        <v>8.0</v>
      </c>
      <c r="E6" s="66">
        <v>9.0</v>
      </c>
      <c r="F6" s="64">
        <v>4.0</v>
      </c>
      <c r="G6" s="65">
        <v>6.0</v>
      </c>
      <c r="H6" s="66">
        <v>8.0</v>
      </c>
      <c r="I6" s="64">
        <v>5.0</v>
      </c>
      <c r="J6" s="65">
        <v>7.0</v>
      </c>
      <c r="K6" s="66">
        <v>9.0</v>
      </c>
      <c r="L6" s="67">
        <f t="shared" si="4"/>
        <v>4</v>
      </c>
      <c r="M6" s="68">
        <f t="shared" si="5"/>
        <v>7</v>
      </c>
      <c r="N6" s="69">
        <f t="shared" si="6"/>
        <v>9</v>
      </c>
      <c r="O6" s="70">
        <f>MIN($L$6,$L$10,$L$14,$L$18)/$N6</f>
        <v>0.3333333333</v>
      </c>
      <c r="P6" s="68">
        <f>MIN($L$6,$L$10,$L$14,$L$18)/$M6</f>
        <v>0.4285714286</v>
      </c>
      <c r="Q6" s="71">
        <f>MIN($L$6,$L$10,$L$14,$L$18)/$L6</f>
        <v>0.75</v>
      </c>
      <c r="R6" s="64">
        <v>3.0</v>
      </c>
      <c r="S6" s="65">
        <v>5.0</v>
      </c>
      <c r="T6" s="66">
        <v>7.0</v>
      </c>
      <c r="U6" s="70">
        <f t="shared" ref="U6:W6" si="9">O6*R6</f>
        <v>1</v>
      </c>
      <c r="V6" s="68">
        <f t="shared" si="9"/>
        <v>2.142857143</v>
      </c>
      <c r="W6" s="71">
        <f t="shared" si="9"/>
        <v>5.25</v>
      </c>
      <c r="X6" s="16"/>
      <c r="Y6" s="28"/>
      <c r="Z6" s="17"/>
      <c r="AA6" s="16"/>
      <c r="AB6" s="28"/>
      <c r="AC6" s="17"/>
      <c r="AD6" s="72">
        <f>SQRT((1/3)*((U6-$X$15)*(U6-$X$15)+(V6-$Y$15)*(V6-$Y$15)+($Z$15-W6)*($Z$15-W6)))</f>
        <v>1.127359581</v>
      </c>
      <c r="AE6" s="73"/>
      <c r="AF6" s="74"/>
      <c r="AG6" s="72">
        <f>SQRT((1/3)*((U6-$AA$15)*(U6-$AA$15)+(V6-$AB$15)*(V6-$AB$15)+($AC$15-W6)*($AC$15-W6)))</f>
        <v>1.023758997</v>
      </c>
      <c r="AH6" s="73"/>
      <c r="AI6" s="74"/>
      <c r="AJ6" s="16"/>
      <c r="AK6" s="28"/>
      <c r="AL6" s="17"/>
      <c r="AM6" s="27"/>
      <c r="AN6" s="46"/>
      <c r="AO6" s="46"/>
      <c r="AP6" s="46"/>
      <c r="AQ6" s="46"/>
      <c r="AR6" s="46"/>
    </row>
    <row r="7">
      <c r="A7" s="29" t="s">
        <v>25</v>
      </c>
      <c r="B7" s="30" t="s">
        <v>21</v>
      </c>
      <c r="C7" s="31">
        <v>4.0</v>
      </c>
      <c r="D7" s="32">
        <v>6.0</v>
      </c>
      <c r="E7" s="33">
        <v>8.0</v>
      </c>
      <c r="F7" s="31">
        <v>5.0</v>
      </c>
      <c r="G7" s="32">
        <v>7.0</v>
      </c>
      <c r="H7" s="33">
        <v>9.0</v>
      </c>
      <c r="I7" s="31">
        <v>6.0</v>
      </c>
      <c r="J7" s="32">
        <v>8.0</v>
      </c>
      <c r="K7" s="33">
        <v>10.0</v>
      </c>
      <c r="L7" s="34">
        <f t="shared" si="4"/>
        <v>4</v>
      </c>
      <c r="M7" s="35">
        <f t="shared" si="5"/>
        <v>7</v>
      </c>
      <c r="N7" s="36">
        <f t="shared" si="6"/>
        <v>10</v>
      </c>
      <c r="O7" s="37">
        <f>MIN($L$3,$L$7,$L$11,$L$15)/$N7</f>
        <v>0.2</v>
      </c>
      <c r="P7" s="35">
        <f>MIN($L$3,$L$7,$L$11,$L$15)/$M7</f>
        <v>0.2857142857</v>
      </c>
      <c r="Q7" s="38">
        <f>MIN($L$3,$L$7,$L$11,$L$15)/$L7</f>
        <v>0.5</v>
      </c>
      <c r="R7" s="31">
        <v>5.0</v>
      </c>
      <c r="S7" s="32">
        <v>7.0</v>
      </c>
      <c r="T7" s="33">
        <v>9.0</v>
      </c>
      <c r="U7" s="37">
        <f t="shared" ref="U7:W7" si="10">O7*R7</f>
        <v>1</v>
      </c>
      <c r="V7" s="35">
        <f t="shared" si="10"/>
        <v>2</v>
      </c>
      <c r="W7" s="38">
        <f t="shared" si="10"/>
        <v>4.5</v>
      </c>
      <c r="X7" s="39">
        <f t="shared" ref="X7:Z7" si="11">MAX(U4,U8,U12,U16)</f>
        <v>0.75</v>
      </c>
      <c r="Y7" s="40">
        <f t="shared" si="11"/>
        <v>2</v>
      </c>
      <c r="Z7" s="41">
        <f t="shared" si="11"/>
        <v>7</v>
      </c>
      <c r="AA7" s="39">
        <f t="shared" ref="AA7:AC7" si="12">MIN(U4,U8,U12,U16)</f>
        <v>0.6666666667</v>
      </c>
      <c r="AB7" s="40">
        <f t="shared" si="12"/>
        <v>1.428571429</v>
      </c>
      <c r="AC7" s="41">
        <f t="shared" si="12"/>
        <v>2.8</v>
      </c>
      <c r="AD7" s="42">
        <f>SQRT((1/3)*((U7-$X$3)*(U7-$X$3)+(V7-$Y$3)*(V7-$Y$3)+($Z$3-W7)*($Z$3-W7)))</f>
        <v>2.642757398</v>
      </c>
      <c r="AE7" s="43"/>
      <c r="AF7" s="44"/>
      <c r="AG7" s="42">
        <f>SQRT((1/3)*((U7-$AA$3)*(U7-$AA$3)+(V7-$AB$3)*(V7-$AB$3)+($AC$3-W7)*($AC$3-W7)))</f>
        <v>0.8779711461</v>
      </c>
      <c r="AH7" s="43"/>
      <c r="AI7" s="44"/>
      <c r="AJ7" s="39">
        <f>SUM(AD7:AF10)</f>
        <v>6.302765263</v>
      </c>
      <c r="AK7" s="40">
        <f>SUM(AF7:AH10)</f>
        <v>4.124405535</v>
      </c>
      <c r="AL7" s="41">
        <f>AK7/(AJ7+AK7)</f>
        <v>0.3955440661</v>
      </c>
      <c r="AM7" s="45">
        <f>RANK(AL7,$AL$3:$AL$18)</f>
        <v>2</v>
      </c>
      <c r="AN7" s="46"/>
      <c r="AO7" s="46"/>
      <c r="AP7" s="46"/>
      <c r="AQ7" s="46"/>
      <c r="AR7" s="46"/>
    </row>
    <row r="8">
      <c r="A8" s="47"/>
      <c r="B8" s="48" t="s">
        <v>22</v>
      </c>
      <c r="C8" s="49">
        <v>4.0</v>
      </c>
      <c r="D8" s="50">
        <v>5.0</v>
      </c>
      <c r="E8" s="51">
        <v>7.0</v>
      </c>
      <c r="F8" s="49">
        <v>2.0</v>
      </c>
      <c r="G8" s="50">
        <v>4.0</v>
      </c>
      <c r="H8" s="51">
        <v>6.0</v>
      </c>
      <c r="I8" s="49">
        <v>3.0</v>
      </c>
      <c r="J8" s="50">
        <v>6.0</v>
      </c>
      <c r="K8" s="51">
        <v>8.0</v>
      </c>
      <c r="L8" s="52">
        <f t="shared" si="4"/>
        <v>2</v>
      </c>
      <c r="M8" s="53">
        <f t="shared" si="5"/>
        <v>5</v>
      </c>
      <c r="N8" s="54">
        <f t="shared" si="6"/>
        <v>8</v>
      </c>
      <c r="O8" s="55">
        <f>MIN($L$4,$L$8,$L$12,$L$16)/$N8</f>
        <v>0.25</v>
      </c>
      <c r="P8" s="53">
        <f>MIN($L$4,$L$8,$L$12,$L$16)/$M8</f>
        <v>0.4</v>
      </c>
      <c r="Q8" s="56">
        <f>MIN($L$4,$L$8,$L$12,$L$16)/$L8</f>
        <v>1</v>
      </c>
      <c r="R8" s="49">
        <v>3.0</v>
      </c>
      <c r="S8" s="50">
        <v>5.0</v>
      </c>
      <c r="T8" s="51">
        <v>7.0</v>
      </c>
      <c r="U8" s="55">
        <f t="shared" ref="U8:W8" si="13">O8*R8</f>
        <v>0.75</v>
      </c>
      <c r="V8" s="53">
        <f t="shared" si="13"/>
        <v>2</v>
      </c>
      <c r="W8" s="56">
        <f t="shared" si="13"/>
        <v>7</v>
      </c>
      <c r="X8" s="47"/>
      <c r="Y8" s="57"/>
      <c r="Z8" s="58"/>
      <c r="AA8" s="47"/>
      <c r="AB8" s="57"/>
      <c r="AC8" s="58"/>
      <c r="AD8" s="59">
        <f>SQRT((1/3)*((U8-$X$7)*(U8-$X$7)+(V8-$Y$7)*(V8-$Y$7)+($Z$7-W8)*($Z$7-W8)))</f>
        <v>0</v>
      </c>
      <c r="AE8" s="60"/>
      <c r="AF8" s="61"/>
      <c r="AG8" s="59">
        <f>SQRT((1/3)*((U8-$AA$7)*(U8-$AA$7)+(V8-$AB$7)*(V8-$AB$7)+($AC$7-W8)*($AC$7-W8)))</f>
        <v>2.447684284</v>
      </c>
      <c r="AH8" s="60"/>
      <c r="AI8" s="61"/>
      <c r="AJ8" s="47"/>
      <c r="AK8" s="57"/>
      <c r="AL8" s="58"/>
      <c r="AM8" s="62"/>
      <c r="AN8" s="46"/>
      <c r="AO8" s="46"/>
      <c r="AP8" s="46"/>
      <c r="AQ8" s="46"/>
      <c r="AR8" s="46"/>
    </row>
    <row r="9">
      <c r="A9" s="47"/>
      <c r="B9" s="48" t="s">
        <v>23</v>
      </c>
      <c r="C9" s="49">
        <v>5.0</v>
      </c>
      <c r="D9" s="50">
        <v>7.0</v>
      </c>
      <c r="E9" s="51">
        <v>8.0</v>
      </c>
      <c r="F9" s="49">
        <v>3.0</v>
      </c>
      <c r="G9" s="50">
        <v>5.0</v>
      </c>
      <c r="H9" s="51">
        <v>7.0</v>
      </c>
      <c r="I9" s="49">
        <v>4.0</v>
      </c>
      <c r="J9" s="50">
        <v>6.0</v>
      </c>
      <c r="K9" s="51">
        <v>8.0</v>
      </c>
      <c r="L9" s="52">
        <f t="shared" si="4"/>
        <v>3</v>
      </c>
      <c r="M9" s="53">
        <f t="shared" si="5"/>
        <v>6</v>
      </c>
      <c r="N9" s="54">
        <f t="shared" si="6"/>
        <v>8</v>
      </c>
      <c r="O9" s="55">
        <f>MIN($L$5,$L$9,$L$13,$L$17)/$N9</f>
        <v>0.125</v>
      </c>
      <c r="P9" s="53">
        <f>MIN($L$5,$L$9,$L$13,$L$17)/$M9</f>
        <v>0.1666666667</v>
      </c>
      <c r="Q9" s="56">
        <f>MIN($L$5,$L$9,$L$13,$L$17)/$L9</f>
        <v>0.3333333333</v>
      </c>
      <c r="R9" s="49">
        <v>1.0</v>
      </c>
      <c r="S9" s="50">
        <v>3.0</v>
      </c>
      <c r="T9" s="51">
        <v>5.0</v>
      </c>
      <c r="U9" s="55">
        <f t="shared" ref="U9:W9" si="14">O9*R9</f>
        <v>0.125</v>
      </c>
      <c r="V9" s="53">
        <f t="shared" si="14"/>
        <v>0.5</v>
      </c>
      <c r="W9" s="56">
        <f t="shared" si="14"/>
        <v>1.666666667</v>
      </c>
      <c r="X9" s="47"/>
      <c r="Y9" s="57"/>
      <c r="Z9" s="58"/>
      <c r="AA9" s="47"/>
      <c r="AB9" s="57"/>
      <c r="AC9" s="58"/>
      <c r="AD9" s="59">
        <f>SQRT((1/3)*((U9-$X$11)*(U9-$X$11)+(V9-$Y$11)*(V9-$Y$11)+($Z$11-W9)*($Z$11-W9)))</f>
        <v>1.929933504</v>
      </c>
      <c r="AE9" s="60"/>
      <c r="AF9" s="61"/>
      <c r="AG9" s="59">
        <f>SQRT((1/3)*((U9-$AA$11)*(U9-$AA$11)+(V9-$AB$11)*(V9-$AB$11)+($AC$11-W9)*($AC$11-W9)))</f>
        <v>0.3918734679</v>
      </c>
      <c r="AH9" s="60"/>
      <c r="AI9" s="61"/>
      <c r="AJ9" s="47"/>
      <c r="AK9" s="57"/>
      <c r="AL9" s="58"/>
      <c r="AM9" s="62"/>
      <c r="AN9" s="46"/>
      <c r="AO9" s="46"/>
      <c r="AP9" s="46"/>
      <c r="AQ9" s="46"/>
      <c r="AR9" s="46"/>
    </row>
    <row r="10">
      <c r="A10" s="16"/>
      <c r="B10" s="63" t="s">
        <v>24</v>
      </c>
      <c r="C10" s="64">
        <v>7.0</v>
      </c>
      <c r="D10" s="65">
        <v>8.0</v>
      </c>
      <c r="E10" s="66">
        <v>10.0</v>
      </c>
      <c r="F10" s="64">
        <v>5.0</v>
      </c>
      <c r="G10" s="65">
        <v>7.0</v>
      </c>
      <c r="H10" s="66">
        <v>9.0</v>
      </c>
      <c r="I10" s="64">
        <v>6.0</v>
      </c>
      <c r="J10" s="65">
        <v>8.0</v>
      </c>
      <c r="K10" s="66">
        <v>9.0</v>
      </c>
      <c r="L10" s="67">
        <f t="shared" si="4"/>
        <v>5</v>
      </c>
      <c r="M10" s="68">
        <f t="shared" si="5"/>
        <v>7.666666667</v>
      </c>
      <c r="N10" s="69">
        <f t="shared" si="6"/>
        <v>10</v>
      </c>
      <c r="O10" s="70">
        <f>MIN($L$6,$L$10,$L$14,$L$18)/$N10</f>
        <v>0.3</v>
      </c>
      <c r="P10" s="68">
        <f>MIN($L$6,$L$10,$L$14,$L$18)/$M10</f>
        <v>0.3913043478</v>
      </c>
      <c r="Q10" s="71">
        <f>MIN($L$6,$L$10,$L$14,$L$18)/$L10</f>
        <v>0.6</v>
      </c>
      <c r="R10" s="64">
        <v>3.0</v>
      </c>
      <c r="S10" s="65">
        <v>5.0</v>
      </c>
      <c r="T10" s="66">
        <v>7.0</v>
      </c>
      <c r="U10" s="70">
        <f t="shared" ref="U10:W10" si="15">O10*R10</f>
        <v>0.9</v>
      </c>
      <c r="V10" s="68">
        <f t="shared" si="15"/>
        <v>1.956521739</v>
      </c>
      <c r="W10" s="71">
        <f t="shared" si="15"/>
        <v>4.2</v>
      </c>
      <c r="X10" s="16"/>
      <c r="Y10" s="28"/>
      <c r="Z10" s="17"/>
      <c r="AA10" s="16"/>
      <c r="AB10" s="28"/>
      <c r="AC10" s="17"/>
      <c r="AD10" s="72">
        <f>SQRT((1/3)*((U10-$X$15)*(U10-$X$15)+(V10-$Y$15)*(V10-$Y$15)+($Z$15-W10)*($Z$15-W10)))</f>
        <v>1.730074361</v>
      </c>
      <c r="AE10" s="73"/>
      <c r="AF10" s="74"/>
      <c r="AG10" s="72">
        <f>SQRT((1/3)*((U10-$AA$15)*(U10-$AA$15)+(V10-$AB$15)*(V10-$AB$15)+($AC$15-W10)*($AC$15-W10)))</f>
        <v>0.4068766373</v>
      </c>
      <c r="AH10" s="73"/>
      <c r="AI10" s="74"/>
      <c r="AJ10" s="16"/>
      <c r="AK10" s="28"/>
      <c r="AL10" s="17"/>
      <c r="AM10" s="27"/>
      <c r="AN10" s="46"/>
      <c r="AO10" s="46"/>
      <c r="AP10" s="46"/>
      <c r="AQ10" s="46"/>
      <c r="AR10" s="46"/>
    </row>
    <row r="11">
      <c r="A11" s="29" t="s">
        <v>26</v>
      </c>
      <c r="B11" s="30" t="s">
        <v>21</v>
      </c>
      <c r="C11" s="75">
        <v>5.0</v>
      </c>
      <c r="D11" s="76">
        <v>7.0</v>
      </c>
      <c r="E11" s="77">
        <v>9.0</v>
      </c>
      <c r="F11" s="31">
        <v>6.0</v>
      </c>
      <c r="G11" s="32">
        <v>8.0</v>
      </c>
      <c r="H11" s="33">
        <v>9.0</v>
      </c>
      <c r="I11" s="31">
        <v>7.0</v>
      </c>
      <c r="J11" s="32">
        <v>9.0</v>
      </c>
      <c r="K11" s="33">
        <v>10.0</v>
      </c>
      <c r="L11" s="34">
        <f t="shared" si="4"/>
        <v>5</v>
      </c>
      <c r="M11" s="35">
        <f t="shared" si="5"/>
        <v>8</v>
      </c>
      <c r="N11" s="36">
        <f t="shared" si="6"/>
        <v>10</v>
      </c>
      <c r="O11" s="37">
        <f>MIN($L$3,$L$7,$L$11,$L$15)/$N11</f>
        <v>0.2</v>
      </c>
      <c r="P11" s="35">
        <f>MIN($L$3,$L$7,$L$11,$L$15)/$M11</f>
        <v>0.25</v>
      </c>
      <c r="Q11" s="38">
        <f>MIN($L$3,$L$7,$L$11,$L$15)/$L11</f>
        <v>0.4</v>
      </c>
      <c r="R11" s="31">
        <v>5.0</v>
      </c>
      <c r="S11" s="32">
        <v>7.0</v>
      </c>
      <c r="T11" s="33">
        <v>9.0</v>
      </c>
      <c r="U11" s="37">
        <f t="shared" ref="U11:W11" si="16">O11*R11</f>
        <v>1</v>
      </c>
      <c r="V11" s="35">
        <f t="shared" si="16"/>
        <v>1.75</v>
      </c>
      <c r="W11" s="38">
        <f t="shared" si="16"/>
        <v>3.6</v>
      </c>
      <c r="X11" s="39">
        <f t="shared" ref="X11:Z11" si="17">MAX(U5,U9,U13,U17)</f>
        <v>0.1428571429</v>
      </c>
      <c r="Y11" s="40">
        <f t="shared" si="17"/>
        <v>0.75</v>
      </c>
      <c r="Z11" s="41">
        <f t="shared" si="17"/>
        <v>5</v>
      </c>
      <c r="AA11" s="39">
        <f t="shared" ref="AA11:AC11" si="18">MIN(U5,U9,U13,U17)</f>
        <v>0.1</v>
      </c>
      <c r="AB11" s="40">
        <f t="shared" si="18"/>
        <v>0.375</v>
      </c>
      <c r="AC11" s="41">
        <f t="shared" si="18"/>
        <v>1</v>
      </c>
      <c r="AD11" s="42">
        <f>SQRT((1/3)*((U11-$X$3)*(U11-$X$3)+(V11-$Y$3)*(V11-$Y$3)+($Z$3-W11)*($Z$3-W11)))</f>
        <v>3.179360523</v>
      </c>
      <c r="AE11" s="43"/>
      <c r="AF11" s="44"/>
      <c r="AG11" s="42">
        <f>SQRT((1/3)*((U11-$AA$3)*(U11-$AA$3)+(V11-$AB$3)*(V11-$AB$3)+($AC$3-W11)*($AC$3-W11)))</f>
        <v>0.3464101615</v>
      </c>
      <c r="AH11" s="43"/>
      <c r="AI11" s="44"/>
      <c r="AJ11" s="39">
        <f>SUM(AD11:AF14)</f>
        <v>9.52805786</v>
      </c>
      <c r="AK11" s="40">
        <f>SUM(AF11:AH14)</f>
        <v>0.8962287175</v>
      </c>
      <c r="AL11" s="41">
        <f>AK11/(AJ11+AK11)</f>
        <v>0.08597506514</v>
      </c>
      <c r="AM11" s="45">
        <f>RANK(AL11,$AL$3:$AL$18)</f>
        <v>4</v>
      </c>
      <c r="AN11" s="46"/>
      <c r="AO11" s="46"/>
      <c r="AP11" s="46"/>
      <c r="AQ11" s="46"/>
      <c r="AR11" s="46"/>
    </row>
    <row r="12">
      <c r="A12" s="47"/>
      <c r="B12" s="48" t="s">
        <v>22</v>
      </c>
      <c r="C12" s="49">
        <v>6.0</v>
      </c>
      <c r="D12" s="50">
        <v>8.0</v>
      </c>
      <c r="E12" s="51">
        <v>9.0</v>
      </c>
      <c r="F12" s="49">
        <v>4.0</v>
      </c>
      <c r="G12" s="50">
        <v>6.0</v>
      </c>
      <c r="H12" s="51">
        <v>8.0</v>
      </c>
      <c r="I12" s="49">
        <v>5.0</v>
      </c>
      <c r="J12" s="50">
        <v>7.0</v>
      </c>
      <c r="K12" s="51">
        <v>9.0</v>
      </c>
      <c r="L12" s="52">
        <f t="shared" si="4"/>
        <v>4</v>
      </c>
      <c r="M12" s="53">
        <f t="shared" si="5"/>
        <v>7</v>
      </c>
      <c r="N12" s="54">
        <f t="shared" si="6"/>
        <v>9</v>
      </c>
      <c r="O12" s="55">
        <f>MIN($L$4,$L$8,$L$12,$L$16)/$N12</f>
        <v>0.2222222222</v>
      </c>
      <c r="P12" s="53">
        <f>MIN($L$4,$L$8,$L$12,$L$16)/$M12</f>
        <v>0.2857142857</v>
      </c>
      <c r="Q12" s="56">
        <f>MIN($L$4,$L$8,$L$12,$L$16)/$L12</f>
        <v>0.5</v>
      </c>
      <c r="R12" s="49">
        <v>3.0</v>
      </c>
      <c r="S12" s="50">
        <v>5.0</v>
      </c>
      <c r="T12" s="51">
        <v>7.0</v>
      </c>
      <c r="U12" s="55">
        <f t="shared" ref="U12:W12" si="19">O12*R12</f>
        <v>0.6666666667</v>
      </c>
      <c r="V12" s="53">
        <f t="shared" si="19"/>
        <v>1.428571429</v>
      </c>
      <c r="W12" s="56">
        <f t="shared" si="19"/>
        <v>3.5</v>
      </c>
      <c r="X12" s="47"/>
      <c r="Y12" s="57"/>
      <c r="Z12" s="58"/>
      <c r="AA12" s="47"/>
      <c r="AB12" s="57"/>
      <c r="AC12" s="58"/>
      <c r="AD12" s="59">
        <f>SQRT((1/3)*((U12-$X$7)*(U12-$X$7)+(V12-$Y$7)*(V12-$Y$7)+($Z$7-W12)*($Z$7-W12)))</f>
        <v>2.048045821</v>
      </c>
      <c r="AE12" s="60"/>
      <c r="AF12" s="61"/>
      <c r="AG12" s="59">
        <f>SQRT((1/3)*((U12-$AA$7)*(U12-$AA$7)+(V12-$AB$7)*(V12-$AB$7)+($AC$7-W12)*($AC$7-W12)))</f>
        <v>0.4041451884</v>
      </c>
      <c r="AH12" s="60"/>
      <c r="AI12" s="61"/>
      <c r="AJ12" s="47"/>
      <c r="AK12" s="57"/>
      <c r="AL12" s="58"/>
      <c r="AM12" s="62"/>
      <c r="AN12" s="46"/>
      <c r="AO12" s="46"/>
      <c r="AP12" s="46"/>
      <c r="AQ12" s="46"/>
      <c r="AR12" s="46"/>
    </row>
    <row r="13">
      <c r="A13" s="47"/>
      <c r="B13" s="48" t="s">
        <v>23</v>
      </c>
      <c r="C13" s="49">
        <v>6.0</v>
      </c>
      <c r="D13" s="50">
        <v>8.0</v>
      </c>
      <c r="E13" s="51">
        <v>9.0</v>
      </c>
      <c r="F13" s="49">
        <v>4.0</v>
      </c>
      <c r="G13" s="50">
        <v>6.0</v>
      </c>
      <c r="H13" s="51">
        <v>8.0</v>
      </c>
      <c r="I13" s="49">
        <v>5.0</v>
      </c>
      <c r="J13" s="50">
        <v>8.0</v>
      </c>
      <c r="K13" s="51">
        <v>10.0</v>
      </c>
      <c r="L13" s="52">
        <f t="shared" si="4"/>
        <v>4</v>
      </c>
      <c r="M13" s="53">
        <f t="shared" si="5"/>
        <v>7.333333333</v>
      </c>
      <c r="N13" s="54">
        <f t="shared" si="6"/>
        <v>10</v>
      </c>
      <c r="O13" s="55">
        <f>MIN($L$5,$L$9,$L$13,$L$17)/$N13</f>
        <v>0.1</v>
      </c>
      <c r="P13" s="53">
        <f>MIN($L$5,$L$9,$L$13,$L$17)/$M13</f>
        <v>0.1363636364</v>
      </c>
      <c r="Q13" s="56">
        <f>MIN($L$5,$L$9,$L$13,$L$17)/$L13</f>
        <v>0.25</v>
      </c>
      <c r="R13" s="49">
        <v>1.0</v>
      </c>
      <c r="S13" s="50">
        <v>3.0</v>
      </c>
      <c r="T13" s="51">
        <v>5.0</v>
      </c>
      <c r="U13" s="55">
        <f t="shared" ref="U13:W13" si="20">O13*R13</f>
        <v>0.1</v>
      </c>
      <c r="V13" s="53">
        <f t="shared" si="20"/>
        <v>0.4090909091</v>
      </c>
      <c r="W13" s="56">
        <f t="shared" si="20"/>
        <v>1.25</v>
      </c>
      <c r="X13" s="47"/>
      <c r="Y13" s="57"/>
      <c r="Z13" s="58"/>
      <c r="AA13" s="47"/>
      <c r="AB13" s="57"/>
      <c r="AC13" s="58"/>
      <c r="AD13" s="59">
        <f>SQRT((1/3)*((U13-$X$11)*(U13-$X$11)+(V13-$Y$11)*(V13-$Y$11)+($Z$11-W13)*($Z$11-W13)))</f>
        <v>2.174132451</v>
      </c>
      <c r="AE13" s="60"/>
      <c r="AF13" s="61"/>
      <c r="AG13" s="59">
        <f>SQRT((1/3)*((U13-$AA$11)*(U13-$AA$11)+(V13-$AB$11)*(V13-$AB$11)+($AC$11-W13)*($AC$11-W13)))</f>
        <v>0.1456733676</v>
      </c>
      <c r="AH13" s="60"/>
      <c r="AI13" s="61"/>
      <c r="AJ13" s="47"/>
      <c r="AK13" s="57"/>
      <c r="AL13" s="58"/>
      <c r="AM13" s="62"/>
      <c r="AN13" s="46"/>
      <c r="AO13" s="46"/>
      <c r="AP13" s="46"/>
      <c r="AQ13" s="46"/>
      <c r="AR13" s="46"/>
    </row>
    <row r="14">
      <c r="A14" s="16"/>
      <c r="B14" s="63" t="s">
        <v>24</v>
      </c>
      <c r="C14" s="78">
        <v>8.0</v>
      </c>
      <c r="D14" s="79">
        <v>9.0</v>
      </c>
      <c r="E14" s="80">
        <v>10.0</v>
      </c>
      <c r="F14" s="64">
        <v>6.0</v>
      </c>
      <c r="G14" s="65">
        <v>7.0</v>
      </c>
      <c r="H14" s="66">
        <v>8.0</v>
      </c>
      <c r="I14" s="64">
        <v>7.0</v>
      </c>
      <c r="J14" s="65">
        <v>8.0</v>
      </c>
      <c r="K14" s="66">
        <v>9.0</v>
      </c>
      <c r="L14" s="67">
        <f t="shared" si="4"/>
        <v>6</v>
      </c>
      <c r="M14" s="68">
        <f t="shared" si="5"/>
        <v>8</v>
      </c>
      <c r="N14" s="69">
        <f t="shared" si="6"/>
        <v>10</v>
      </c>
      <c r="O14" s="70">
        <f>MIN($L$6,$L$10,$L$14,$L$18)/$N14</f>
        <v>0.3</v>
      </c>
      <c r="P14" s="68">
        <f>MIN($L$6,$L$10,$L$14,$L$18)/$M14</f>
        <v>0.375</v>
      </c>
      <c r="Q14" s="71">
        <f>MIN($L$6,$L$10,$L$14,$L$18)/$L14</f>
        <v>0.5</v>
      </c>
      <c r="R14" s="64">
        <v>3.0</v>
      </c>
      <c r="S14" s="65">
        <v>5.0</v>
      </c>
      <c r="T14" s="66">
        <v>7.0</v>
      </c>
      <c r="U14" s="70">
        <f t="shared" ref="U14:W14" si="21">O14*R14</f>
        <v>0.9</v>
      </c>
      <c r="V14" s="68">
        <f t="shared" si="21"/>
        <v>1.875</v>
      </c>
      <c r="W14" s="71">
        <f t="shared" si="21"/>
        <v>3.5</v>
      </c>
      <c r="X14" s="16"/>
      <c r="Y14" s="28"/>
      <c r="Z14" s="17"/>
      <c r="AA14" s="16"/>
      <c r="AB14" s="28"/>
      <c r="AC14" s="17"/>
      <c r="AD14" s="72">
        <f>SQRT((1/3)*((U14-$X$15)*(U14-$X$15)+(V14-$Y$15)*(V14-$Y$15)+($Z$15-W14)*($Z$15-W14)))</f>
        <v>2.126519065</v>
      </c>
      <c r="AE14" s="73"/>
      <c r="AF14" s="74"/>
      <c r="AG14" s="72">
        <f>SQRT((1/3)*((U14-$AA$15)*(U14-$AA$15)+(V14-$AB$15)*(V14-$AB$15)+($AC$15-W14)*($AC$15-W14)))</f>
        <v>0</v>
      </c>
      <c r="AH14" s="73"/>
      <c r="AI14" s="74"/>
      <c r="AJ14" s="16"/>
      <c r="AK14" s="28"/>
      <c r="AL14" s="17"/>
      <c r="AM14" s="27"/>
      <c r="AN14" s="46"/>
      <c r="AO14" s="46"/>
      <c r="AP14" s="46"/>
      <c r="AQ14" s="46"/>
      <c r="AR14" s="46"/>
    </row>
    <row r="15">
      <c r="A15" s="81" t="s">
        <v>27</v>
      </c>
      <c r="B15" s="82" t="s">
        <v>21</v>
      </c>
      <c r="C15" s="31">
        <v>6.0</v>
      </c>
      <c r="D15" s="32">
        <v>7.0</v>
      </c>
      <c r="E15" s="33">
        <v>9.0</v>
      </c>
      <c r="F15" s="75">
        <v>7.0</v>
      </c>
      <c r="G15" s="76">
        <v>8.0</v>
      </c>
      <c r="H15" s="77">
        <v>10.0</v>
      </c>
      <c r="I15" s="75">
        <v>8.0</v>
      </c>
      <c r="J15" s="76">
        <v>9.0</v>
      </c>
      <c r="K15" s="77">
        <v>10.0</v>
      </c>
      <c r="L15" s="83">
        <f t="shared" si="4"/>
        <v>6</v>
      </c>
      <c r="M15" s="84">
        <f t="shared" si="5"/>
        <v>8</v>
      </c>
      <c r="N15" s="85">
        <f t="shared" si="6"/>
        <v>10</v>
      </c>
      <c r="O15" s="86">
        <f>MIN($L$3,$L$7,$L$11,$L$15)/$N15</f>
        <v>0.2</v>
      </c>
      <c r="P15" s="84">
        <f>MIN($L$3,$L$7,$L$11,$L$15)/$M15</f>
        <v>0.25</v>
      </c>
      <c r="Q15" s="87">
        <f>MIN($L$3,$L$7,$L$11,$L$15)/$L15</f>
        <v>0.3333333333</v>
      </c>
      <c r="R15" s="75">
        <v>5.0</v>
      </c>
      <c r="S15" s="76">
        <v>7.0</v>
      </c>
      <c r="T15" s="77">
        <v>9.0</v>
      </c>
      <c r="U15" s="86">
        <f t="shared" ref="U15:W15" si="22">O15*R15</f>
        <v>1</v>
      </c>
      <c r="V15" s="84">
        <f t="shared" si="22"/>
        <v>1.75</v>
      </c>
      <c r="W15" s="87">
        <f t="shared" si="22"/>
        <v>3</v>
      </c>
      <c r="X15" s="88">
        <f t="shared" ref="X15:Z15" si="23">MAX(U6,U10,U14,U18)</f>
        <v>1.125</v>
      </c>
      <c r="Y15" s="89">
        <f t="shared" si="23"/>
        <v>3</v>
      </c>
      <c r="Z15" s="90">
        <f t="shared" si="23"/>
        <v>7</v>
      </c>
      <c r="AA15" s="88">
        <f t="shared" ref="AA15:AC15" si="24">MIN(U6,U10,U14,U18)</f>
        <v>0.9</v>
      </c>
      <c r="AB15" s="89">
        <f t="shared" si="24"/>
        <v>1.875</v>
      </c>
      <c r="AC15" s="90">
        <f t="shared" si="24"/>
        <v>3.5</v>
      </c>
      <c r="AD15" s="91">
        <f>SQRT((1/3)*((U15-$X$3)*(U15-$X$3)+(V15-$Y$3)*(V15-$Y$3)+($Z$3-W15)*($Z$3-W15)))</f>
        <v>3.519706427</v>
      </c>
      <c r="AE15" s="92"/>
      <c r="AF15" s="93"/>
      <c r="AG15" s="91">
        <f>SQRT((1/3)*((U15-$AA$3)*(U15-$AA$3)+(V15-$AB$3)*(V15-$AB$3)+($AC$3-W15)*($AC$3-W15)))</f>
        <v>0</v>
      </c>
      <c r="AH15" s="92"/>
      <c r="AI15" s="93"/>
      <c r="AJ15" s="88">
        <f>SUM(AD15:AF18)</f>
        <v>8.287050293</v>
      </c>
      <c r="AK15" s="89">
        <f>SUM(AF15:AH18)</f>
        <v>2.126519065</v>
      </c>
      <c r="AL15" s="90">
        <f>AK15/(AJ15+AK15)</f>
        <v>0.2042065493</v>
      </c>
      <c r="AM15" s="94">
        <f>RANK(AL15,$AL$3:$AL$18)</f>
        <v>3</v>
      </c>
      <c r="AN15" s="46"/>
      <c r="AO15" s="46"/>
      <c r="AP15" s="46"/>
      <c r="AQ15" s="46"/>
      <c r="AR15" s="46"/>
    </row>
    <row r="16">
      <c r="A16" s="47"/>
      <c r="B16" s="48" t="s">
        <v>22</v>
      </c>
      <c r="C16" s="49">
        <v>7.0</v>
      </c>
      <c r="D16" s="50">
        <v>8.0</v>
      </c>
      <c r="E16" s="51">
        <v>9.0</v>
      </c>
      <c r="F16" s="49">
        <v>5.0</v>
      </c>
      <c r="G16" s="50">
        <v>6.0</v>
      </c>
      <c r="H16" s="51">
        <v>8.0</v>
      </c>
      <c r="I16" s="49">
        <v>6.0</v>
      </c>
      <c r="J16" s="50">
        <v>7.0</v>
      </c>
      <c r="K16" s="51">
        <v>9.0</v>
      </c>
      <c r="L16" s="52">
        <f t="shared" si="4"/>
        <v>5</v>
      </c>
      <c r="M16" s="53">
        <f t="shared" si="5"/>
        <v>7</v>
      </c>
      <c r="N16" s="54">
        <f t="shared" si="6"/>
        <v>9</v>
      </c>
      <c r="O16" s="55">
        <f>MIN($L$4,$L$8,$L$12,$L$16)/$N16</f>
        <v>0.2222222222</v>
      </c>
      <c r="P16" s="53">
        <f>MIN($L$4,$L$8,$L$12,$L$16)/$M16</f>
        <v>0.2857142857</v>
      </c>
      <c r="Q16" s="56">
        <f>MIN($L$4,$L$8,$L$12,$L$16)/$L16</f>
        <v>0.4</v>
      </c>
      <c r="R16" s="49">
        <v>3.0</v>
      </c>
      <c r="S16" s="50">
        <v>5.0</v>
      </c>
      <c r="T16" s="51">
        <v>7.0</v>
      </c>
      <c r="U16" s="55">
        <f t="shared" ref="U16:W16" si="25">O16*R16</f>
        <v>0.6666666667</v>
      </c>
      <c r="V16" s="53">
        <f t="shared" si="25"/>
        <v>1.428571429</v>
      </c>
      <c r="W16" s="56">
        <f t="shared" si="25"/>
        <v>2.8</v>
      </c>
      <c r="X16" s="47"/>
      <c r="Y16" s="57"/>
      <c r="Z16" s="58"/>
      <c r="AA16" s="47"/>
      <c r="AB16" s="57"/>
      <c r="AC16" s="58"/>
      <c r="AD16" s="59">
        <f>SQRT((1/3)*((U16-$X$7)*(U16-$X$7)+(V16-$Y$7)*(V16-$Y$7)+($Z$7-W16)*($Z$7-W16)))</f>
        <v>2.447684284</v>
      </c>
      <c r="AE16" s="60"/>
      <c r="AF16" s="61"/>
      <c r="AG16" s="59">
        <f>SQRT((1/3)*((U16-$AA$7)*(U16-$AA$7)+(V16-$AB$7)*(V16-$AB$7)+($AC$7-W16)*($AC$7-W16)))</f>
        <v>0</v>
      </c>
      <c r="AH16" s="60"/>
      <c r="AI16" s="61"/>
      <c r="AJ16" s="47"/>
      <c r="AK16" s="57"/>
      <c r="AL16" s="58"/>
      <c r="AM16" s="62"/>
      <c r="AN16" s="46"/>
      <c r="AO16" s="46"/>
      <c r="AP16" s="46"/>
      <c r="AQ16" s="46"/>
      <c r="AR16" s="46"/>
    </row>
    <row r="17">
      <c r="A17" s="47"/>
      <c r="B17" s="48" t="s">
        <v>23</v>
      </c>
      <c r="C17" s="49">
        <v>7.0</v>
      </c>
      <c r="D17" s="50">
        <v>8.0</v>
      </c>
      <c r="E17" s="51">
        <v>9.0</v>
      </c>
      <c r="F17" s="49">
        <v>5.0</v>
      </c>
      <c r="G17" s="50">
        <v>7.0</v>
      </c>
      <c r="H17" s="51">
        <v>9.0</v>
      </c>
      <c r="I17" s="49">
        <v>6.0</v>
      </c>
      <c r="J17" s="50">
        <v>9.0</v>
      </c>
      <c r="K17" s="51">
        <v>10.0</v>
      </c>
      <c r="L17" s="52">
        <f t="shared" si="4"/>
        <v>5</v>
      </c>
      <c r="M17" s="53">
        <f t="shared" si="5"/>
        <v>8</v>
      </c>
      <c r="N17" s="54">
        <f t="shared" si="6"/>
        <v>10</v>
      </c>
      <c r="O17" s="55">
        <f>MIN($L$5,$L$9,$L$13,$L$17)/$N17</f>
        <v>0.1</v>
      </c>
      <c r="P17" s="53">
        <f>MIN($L$5,$L$9,$L$13,$L$17)/$M17</f>
        <v>0.125</v>
      </c>
      <c r="Q17" s="56">
        <f>MIN($L$5,$L$9,$L$13,$L$17)/$L17</f>
        <v>0.2</v>
      </c>
      <c r="R17" s="49">
        <v>1.0</v>
      </c>
      <c r="S17" s="50">
        <v>3.0</v>
      </c>
      <c r="T17" s="51">
        <v>5.0</v>
      </c>
      <c r="U17" s="55">
        <f t="shared" ref="U17:W17" si="26">O17*R17</f>
        <v>0.1</v>
      </c>
      <c r="V17" s="53">
        <f t="shared" si="26"/>
        <v>0.375</v>
      </c>
      <c r="W17" s="56">
        <f t="shared" si="26"/>
        <v>1</v>
      </c>
      <c r="X17" s="47"/>
      <c r="Y17" s="57"/>
      <c r="Z17" s="58"/>
      <c r="AA17" s="47"/>
      <c r="AB17" s="57"/>
      <c r="AC17" s="58"/>
      <c r="AD17" s="59">
        <f>SQRT((1/3)*((U17-$X$11)*(U17-$X$11)+(V17-$Y$11)*(V17-$Y$11)+($Z$11-W17)*($Z$11-W17)))</f>
        <v>2.319659582</v>
      </c>
      <c r="AE17" s="60"/>
      <c r="AF17" s="61"/>
      <c r="AG17" s="59">
        <f>SQRT((1/3)*((U17-$AA$11)*(U17-$AA$11)+(V17-$AB$11)*(V17-$AB$11)+($AC$11-W17)*($AC$11-W17)))</f>
        <v>0</v>
      </c>
      <c r="AH17" s="60"/>
      <c r="AI17" s="61"/>
      <c r="AJ17" s="47"/>
      <c r="AK17" s="57"/>
      <c r="AL17" s="58"/>
      <c r="AM17" s="62"/>
      <c r="AN17" s="46"/>
      <c r="AO17" s="46"/>
      <c r="AP17" s="46"/>
      <c r="AQ17" s="46"/>
      <c r="AR17" s="46"/>
    </row>
    <row r="18">
      <c r="A18" s="16"/>
      <c r="B18" s="63" t="s">
        <v>24</v>
      </c>
      <c r="C18" s="64">
        <v>3.0</v>
      </c>
      <c r="D18" s="65">
        <v>4.0</v>
      </c>
      <c r="E18" s="66">
        <v>6.0</v>
      </c>
      <c r="F18" s="64">
        <v>4.0</v>
      </c>
      <c r="G18" s="65">
        <v>5.0</v>
      </c>
      <c r="H18" s="66">
        <v>7.0</v>
      </c>
      <c r="I18" s="64">
        <v>5.0</v>
      </c>
      <c r="J18" s="65">
        <v>6.0</v>
      </c>
      <c r="K18" s="66">
        <v>8.0</v>
      </c>
      <c r="L18" s="67">
        <f t="shared" si="4"/>
        <v>3</v>
      </c>
      <c r="M18" s="68">
        <f t="shared" si="5"/>
        <v>5</v>
      </c>
      <c r="N18" s="69">
        <f t="shared" si="6"/>
        <v>8</v>
      </c>
      <c r="O18" s="70">
        <f>MIN($L$6,$L$10,$L$14,$L$18)/$N18</f>
        <v>0.375</v>
      </c>
      <c r="P18" s="68">
        <f>MIN($L$6,$L$10,$L$14,$L$18)/$M18</f>
        <v>0.6</v>
      </c>
      <c r="Q18" s="71">
        <f>MIN($L$6,$L$10,$L$14,$L$18)/$L18</f>
        <v>1</v>
      </c>
      <c r="R18" s="64">
        <v>3.0</v>
      </c>
      <c r="S18" s="65">
        <v>5.0</v>
      </c>
      <c r="T18" s="66">
        <v>7.0</v>
      </c>
      <c r="U18" s="70">
        <f t="shared" ref="U18:W18" si="27">O18*R18</f>
        <v>1.125</v>
      </c>
      <c r="V18" s="68">
        <f t="shared" si="27"/>
        <v>3</v>
      </c>
      <c r="W18" s="71">
        <f t="shared" si="27"/>
        <v>7</v>
      </c>
      <c r="X18" s="16"/>
      <c r="Y18" s="28"/>
      <c r="Z18" s="17"/>
      <c r="AA18" s="16"/>
      <c r="AB18" s="28"/>
      <c r="AC18" s="17"/>
      <c r="AD18" s="72">
        <f>SQRT((1/3)*((U18-$X$15)*(U18-$X$15)+(V18-$Y$15)*(V18-$Y$15)+($Z$15-W18)*($Z$15-W18)))</f>
        <v>0</v>
      </c>
      <c r="AE18" s="73"/>
      <c r="AF18" s="74"/>
      <c r="AG18" s="72">
        <f>SQRT((1/3)*((U18-$AA$15)*(U18-$AA$15)+(V18-$AB$15)*(V18-$AB$15)+($AC$15-W18)*($AC$15-W18)))</f>
        <v>2.126519065</v>
      </c>
      <c r="AH18" s="73"/>
      <c r="AI18" s="74"/>
      <c r="AJ18" s="16"/>
      <c r="AK18" s="28"/>
      <c r="AL18" s="17"/>
      <c r="AM18" s="27"/>
      <c r="AN18" s="46"/>
      <c r="AO18" s="46"/>
      <c r="AP18" s="46"/>
      <c r="AQ18" s="46"/>
      <c r="AR18" s="46"/>
    </row>
    <row r="20">
      <c r="A20" s="95" t="s">
        <v>28</v>
      </c>
      <c r="B20" s="95" t="s">
        <v>29</v>
      </c>
    </row>
    <row r="21">
      <c r="A21" s="95" t="s">
        <v>30</v>
      </c>
      <c r="B21" s="95" t="s">
        <v>31</v>
      </c>
    </row>
    <row r="22">
      <c r="A22" s="95" t="s">
        <v>32</v>
      </c>
      <c r="B22" s="95" t="s">
        <v>29</v>
      </c>
    </row>
    <row r="23">
      <c r="A23" s="95" t="s">
        <v>33</v>
      </c>
      <c r="B23" s="95" t="s">
        <v>31</v>
      </c>
    </row>
  </sheetData>
  <mergeCells count="94">
    <mergeCell ref="AD3:AF3"/>
    <mergeCell ref="AG3:AI3"/>
    <mergeCell ref="AM3:AM6"/>
    <mergeCell ref="AG4:AI4"/>
    <mergeCell ref="AJ3:AJ6"/>
    <mergeCell ref="AK3:AK6"/>
    <mergeCell ref="AL3:AL6"/>
    <mergeCell ref="AG8:AI8"/>
    <mergeCell ref="AD9:AF9"/>
    <mergeCell ref="AG9:AI9"/>
    <mergeCell ref="AD10:AF10"/>
    <mergeCell ref="AG10:AI10"/>
    <mergeCell ref="AG5:AI5"/>
    <mergeCell ref="AG6:AI6"/>
    <mergeCell ref="AG7:AI7"/>
    <mergeCell ref="AM7:AM10"/>
    <mergeCell ref="AJ7:AJ10"/>
    <mergeCell ref="AK7:AK10"/>
    <mergeCell ref="AL7:AL10"/>
    <mergeCell ref="AD6:AF6"/>
    <mergeCell ref="AD8:AF8"/>
    <mergeCell ref="AD4:AF4"/>
    <mergeCell ref="X7:X10"/>
    <mergeCell ref="Y7:Y10"/>
    <mergeCell ref="Z7:Z10"/>
    <mergeCell ref="AA7:AA10"/>
    <mergeCell ref="AB7:AB10"/>
    <mergeCell ref="AC7:AC10"/>
    <mergeCell ref="AD12:AF12"/>
    <mergeCell ref="AD13:AF13"/>
    <mergeCell ref="X11:X14"/>
    <mergeCell ref="Y11:Y14"/>
    <mergeCell ref="Z11:Z14"/>
    <mergeCell ref="AA11:AA14"/>
    <mergeCell ref="AB11:AB14"/>
    <mergeCell ref="AC11:AC14"/>
    <mergeCell ref="AD11:AF11"/>
    <mergeCell ref="AD14:AF14"/>
    <mergeCell ref="AD15:AF15"/>
    <mergeCell ref="AG15:AI15"/>
    <mergeCell ref="AD16:AF16"/>
    <mergeCell ref="AG16:AI16"/>
    <mergeCell ref="AD17:AF17"/>
    <mergeCell ref="AG17:AI17"/>
    <mergeCell ref="AD18:AF18"/>
    <mergeCell ref="AG18:AI18"/>
    <mergeCell ref="AG19:AI19"/>
    <mergeCell ref="AG14:AI14"/>
    <mergeCell ref="X15:X18"/>
    <mergeCell ref="Y15:Y18"/>
    <mergeCell ref="Z15:Z18"/>
    <mergeCell ref="AA15:AA18"/>
    <mergeCell ref="AB15:AB18"/>
    <mergeCell ref="AC15:AC18"/>
    <mergeCell ref="AM1:AM2"/>
    <mergeCell ref="AK1:AK2"/>
    <mergeCell ref="AL1:AL2"/>
    <mergeCell ref="R1:T1"/>
    <mergeCell ref="U1:W1"/>
    <mergeCell ref="X1:Z1"/>
    <mergeCell ref="AA1:AC1"/>
    <mergeCell ref="AD1:AF2"/>
    <mergeCell ref="AG1:AI2"/>
    <mergeCell ref="AJ1:AJ2"/>
    <mergeCell ref="O1:Q1"/>
    <mergeCell ref="X3:X6"/>
    <mergeCell ref="Y3:Y6"/>
    <mergeCell ref="Z3:Z6"/>
    <mergeCell ref="AA3:AA6"/>
    <mergeCell ref="AB3:AB6"/>
    <mergeCell ref="AC3:AC6"/>
    <mergeCell ref="AD5:AF5"/>
    <mergeCell ref="AD7:AF7"/>
    <mergeCell ref="A7:A10"/>
    <mergeCell ref="A11:A14"/>
    <mergeCell ref="A15:A18"/>
    <mergeCell ref="A1:A2"/>
    <mergeCell ref="B1:B2"/>
    <mergeCell ref="C1:E1"/>
    <mergeCell ref="F1:H1"/>
    <mergeCell ref="I1:K1"/>
    <mergeCell ref="L1:N1"/>
    <mergeCell ref="A3:A6"/>
    <mergeCell ref="AM15:AM18"/>
    <mergeCell ref="AJ15:AJ18"/>
    <mergeCell ref="AK15:AK18"/>
    <mergeCell ref="AL15:AL18"/>
    <mergeCell ref="AG11:AI11"/>
    <mergeCell ref="AM11:AM14"/>
    <mergeCell ref="AG12:AI12"/>
    <mergeCell ref="AG13:AI13"/>
    <mergeCell ref="AJ11:AJ14"/>
    <mergeCell ref="AK11:AK14"/>
    <mergeCell ref="AL11:AL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3.0"/>
    <col customWidth="1" min="3" max="3" width="21.63"/>
    <col customWidth="1" min="4" max="4" width="18.88"/>
    <col customWidth="1" min="5" max="5" width="19.0"/>
    <col customWidth="1" min="6" max="6" width="21.25"/>
    <col customWidth="1" min="7" max="7" width="26.5"/>
    <col customWidth="1" min="8" max="9" width="21.75"/>
    <col customWidth="1" min="10" max="10" width="31.75"/>
    <col customWidth="1" min="11" max="11" width="34.63"/>
    <col customWidth="1" min="14" max="14" width="22.5"/>
  </cols>
  <sheetData>
    <row r="1">
      <c r="A1" s="96" t="s">
        <v>34</v>
      </c>
      <c r="B1" s="96" t="s">
        <v>35</v>
      </c>
      <c r="I1" s="96"/>
      <c r="J1" s="96" t="s">
        <v>36</v>
      </c>
      <c r="K1" s="96" t="s">
        <v>37</v>
      </c>
    </row>
    <row r="2">
      <c r="A2" s="97" t="s">
        <v>38</v>
      </c>
      <c r="B2" s="97" t="s">
        <v>39</v>
      </c>
      <c r="I2" s="98" t="s">
        <v>21</v>
      </c>
      <c r="J2" s="97" t="s">
        <v>40</v>
      </c>
      <c r="K2" s="97" t="s">
        <v>41</v>
      </c>
    </row>
    <row r="3">
      <c r="A3" s="97" t="s">
        <v>42</v>
      </c>
      <c r="B3" s="97" t="s">
        <v>43</v>
      </c>
      <c r="I3" s="98" t="s">
        <v>22</v>
      </c>
      <c r="J3" s="97" t="s">
        <v>44</v>
      </c>
      <c r="K3" s="97" t="s">
        <v>45</v>
      </c>
    </row>
    <row r="4">
      <c r="A4" s="97" t="s">
        <v>46</v>
      </c>
      <c r="B4" s="97" t="s">
        <v>47</v>
      </c>
      <c r="I4" s="98" t="s">
        <v>23</v>
      </c>
      <c r="J4" s="97" t="s">
        <v>48</v>
      </c>
      <c r="K4" s="97" t="s">
        <v>49</v>
      </c>
    </row>
    <row r="5">
      <c r="I5" s="98" t="s">
        <v>24</v>
      </c>
      <c r="J5" s="97" t="s">
        <v>50</v>
      </c>
      <c r="K5" s="97" t="s">
        <v>51</v>
      </c>
    </row>
    <row r="7">
      <c r="A7" s="99" t="s">
        <v>52</v>
      </c>
      <c r="B7" s="99" t="s">
        <v>1</v>
      </c>
      <c r="C7" s="96" t="s">
        <v>53</v>
      </c>
      <c r="D7" s="96" t="s">
        <v>54</v>
      </c>
      <c r="E7" s="96" t="s">
        <v>55</v>
      </c>
      <c r="F7" s="99" t="s">
        <v>5</v>
      </c>
      <c r="G7" s="99" t="s">
        <v>6</v>
      </c>
      <c r="H7" s="96" t="s">
        <v>7</v>
      </c>
      <c r="I7" s="100" t="s">
        <v>8</v>
      </c>
      <c r="J7" s="101" t="s">
        <v>56</v>
      </c>
      <c r="K7" s="101" t="s">
        <v>57</v>
      </c>
      <c r="L7" s="101" t="s">
        <v>13</v>
      </c>
      <c r="M7" s="101" t="s">
        <v>58</v>
      </c>
      <c r="N7" s="101" t="s">
        <v>15</v>
      </c>
      <c r="O7" s="96" t="s">
        <v>16</v>
      </c>
    </row>
    <row r="8">
      <c r="A8" s="102" t="s">
        <v>59</v>
      </c>
      <c r="B8" s="98" t="s">
        <v>21</v>
      </c>
      <c r="C8" s="97" t="s">
        <v>43</v>
      </c>
      <c r="D8" s="97" t="s">
        <v>47</v>
      </c>
      <c r="E8" s="97" t="s">
        <v>47</v>
      </c>
      <c r="F8" s="97" t="s">
        <v>60</v>
      </c>
      <c r="G8" s="97" t="s">
        <v>61</v>
      </c>
      <c r="H8" s="97" t="str">
        <f t="shared" ref="H8:H23" si="2">IF(B8="C1", B$4, IF(B8="C2", B$3, IF(B8="C4", B$3, B$2)))</f>
        <v>(5, 7, 9)</v>
      </c>
      <c r="I8" s="103" t="s">
        <v>41</v>
      </c>
      <c r="J8" s="103">
        <v>0.6</v>
      </c>
      <c r="K8" s="103">
        <v>0.0</v>
      </c>
      <c r="L8" s="104">
        <f t="shared" ref="L8:M8" si="1">SUM(J8:J11)</f>
        <v>5.274</v>
      </c>
      <c r="M8" s="104">
        <f t="shared" si="1"/>
        <v>1.847</v>
      </c>
      <c r="N8" s="105">
        <f>M8/(M8+L8)</f>
        <v>0.2593736835</v>
      </c>
      <c r="O8" s="106">
        <v>4.0</v>
      </c>
    </row>
    <row r="9">
      <c r="A9" s="57"/>
      <c r="B9" s="98" t="s">
        <v>22</v>
      </c>
      <c r="C9" s="97" t="s">
        <v>43</v>
      </c>
      <c r="D9" s="97" t="s">
        <v>43</v>
      </c>
      <c r="E9" s="97" t="s">
        <v>43</v>
      </c>
      <c r="F9" s="97" t="s">
        <v>43</v>
      </c>
      <c r="G9" s="97" t="s">
        <v>62</v>
      </c>
      <c r="H9" s="97" t="str">
        <f t="shared" si="2"/>
        <v>(3, 5, 7)</v>
      </c>
      <c r="I9" s="103" t="s">
        <v>63</v>
      </c>
      <c r="J9" s="103">
        <v>0.0</v>
      </c>
      <c r="K9" s="103">
        <v>1.698</v>
      </c>
      <c r="L9" s="57"/>
      <c r="M9" s="57"/>
      <c r="N9" s="57"/>
      <c r="O9" s="57"/>
    </row>
    <row r="10">
      <c r="A10" s="57"/>
      <c r="B10" s="98" t="s">
        <v>23</v>
      </c>
      <c r="C10" s="97" t="s">
        <v>43</v>
      </c>
      <c r="D10" s="97" t="s">
        <v>43</v>
      </c>
      <c r="E10" s="97" t="s">
        <v>43</v>
      </c>
      <c r="F10" s="97" t="s">
        <v>43</v>
      </c>
      <c r="G10" s="97" t="s">
        <v>64</v>
      </c>
      <c r="H10" s="97" t="str">
        <f t="shared" si="2"/>
        <v>(1, 3, 5)</v>
      </c>
      <c r="I10" s="103" t="s">
        <v>65</v>
      </c>
      <c r="J10" s="103">
        <v>1.938</v>
      </c>
      <c r="K10" s="103">
        <v>0.071</v>
      </c>
      <c r="L10" s="57"/>
      <c r="M10" s="57"/>
      <c r="N10" s="57"/>
      <c r="O10" s="57"/>
    </row>
    <row r="11">
      <c r="A11" s="107"/>
      <c r="B11" s="98" t="s">
        <v>24</v>
      </c>
      <c r="C11" s="97" t="s">
        <v>43</v>
      </c>
      <c r="D11" s="97" t="s">
        <v>43</v>
      </c>
      <c r="E11" s="97" t="s">
        <v>43</v>
      </c>
      <c r="F11" s="97" t="s">
        <v>43</v>
      </c>
      <c r="G11" s="97" t="s">
        <v>64</v>
      </c>
      <c r="H11" s="97" t="str">
        <f t="shared" si="2"/>
        <v>(3, 5, 7)</v>
      </c>
      <c r="I11" s="103" t="s">
        <v>66</v>
      </c>
      <c r="J11" s="103">
        <v>2.736</v>
      </c>
      <c r="K11" s="103">
        <v>0.078</v>
      </c>
      <c r="L11" s="107"/>
      <c r="M11" s="107"/>
      <c r="N11" s="107"/>
      <c r="O11" s="107"/>
    </row>
    <row r="12">
      <c r="A12" s="102" t="s">
        <v>67</v>
      </c>
      <c r="B12" s="98" t="s">
        <v>21</v>
      </c>
      <c r="C12" s="97" t="s">
        <v>43</v>
      </c>
      <c r="D12" s="97" t="s">
        <v>43</v>
      </c>
      <c r="E12" s="97" t="s">
        <v>43</v>
      </c>
      <c r="F12" s="97" t="s">
        <v>43</v>
      </c>
      <c r="G12" s="97" t="s">
        <v>62</v>
      </c>
      <c r="H12" s="97" t="str">
        <f t="shared" si="2"/>
        <v>(5, 7, 9)</v>
      </c>
      <c r="I12" s="103" t="s">
        <v>40</v>
      </c>
      <c r="J12" s="103">
        <v>0.0</v>
      </c>
      <c r="K12" s="103">
        <v>0.6</v>
      </c>
      <c r="L12" s="104">
        <f t="shared" ref="L12:M12" si="3">SUM(J12:J15)</f>
        <v>4.445</v>
      </c>
      <c r="M12" s="104">
        <f t="shared" si="3"/>
        <v>2.544</v>
      </c>
      <c r="N12" s="105">
        <f>M12/(M12+L12)</f>
        <v>0.3640005723</v>
      </c>
      <c r="O12" s="106">
        <v>2.0</v>
      </c>
    </row>
    <row r="13">
      <c r="A13" s="57"/>
      <c r="B13" s="98" t="s">
        <v>22</v>
      </c>
      <c r="C13" s="97" t="s">
        <v>47</v>
      </c>
      <c r="D13" s="97" t="s">
        <v>47</v>
      </c>
      <c r="E13" s="97" t="s">
        <v>47</v>
      </c>
      <c r="F13" s="97" t="s">
        <v>47</v>
      </c>
      <c r="G13" s="97" t="s">
        <v>68</v>
      </c>
      <c r="H13" s="97" t="str">
        <f t="shared" si="2"/>
        <v>(3, 5, 7)</v>
      </c>
      <c r="I13" s="103" t="s">
        <v>45</v>
      </c>
      <c r="J13" s="103">
        <v>1.698</v>
      </c>
      <c r="K13" s="103">
        <v>0.0</v>
      </c>
      <c r="L13" s="57"/>
      <c r="M13" s="57"/>
      <c r="N13" s="57"/>
      <c r="O13" s="57"/>
    </row>
    <row r="14">
      <c r="A14" s="57"/>
      <c r="B14" s="98" t="s">
        <v>23</v>
      </c>
      <c r="C14" s="97" t="s">
        <v>39</v>
      </c>
      <c r="D14" s="97" t="s">
        <v>43</v>
      </c>
      <c r="E14" s="97" t="s">
        <v>39</v>
      </c>
      <c r="F14" s="97" t="s">
        <v>69</v>
      </c>
      <c r="G14" s="97" t="s">
        <v>70</v>
      </c>
      <c r="H14" s="97" t="str">
        <f t="shared" si="2"/>
        <v>(1, 3, 5)</v>
      </c>
      <c r="I14" s="103" t="s">
        <v>48</v>
      </c>
      <c r="J14" s="103">
        <v>0.0</v>
      </c>
      <c r="K14" s="103">
        <v>1.944</v>
      </c>
      <c r="L14" s="57"/>
      <c r="M14" s="57"/>
      <c r="N14" s="57"/>
      <c r="O14" s="57"/>
    </row>
    <row r="15">
      <c r="A15" s="107"/>
      <c r="B15" s="98" t="s">
        <v>24</v>
      </c>
      <c r="C15" s="97" t="s">
        <v>43</v>
      </c>
      <c r="D15" s="97" t="s">
        <v>47</v>
      </c>
      <c r="E15" s="97" t="s">
        <v>43</v>
      </c>
      <c r="F15" s="97" t="s">
        <v>71</v>
      </c>
      <c r="G15" s="97" t="s">
        <v>72</v>
      </c>
      <c r="H15" s="97" t="str">
        <f t="shared" si="2"/>
        <v>(3, 5, 7)</v>
      </c>
      <c r="I15" s="103" t="s">
        <v>51</v>
      </c>
      <c r="J15" s="103">
        <v>2.747</v>
      </c>
      <c r="K15" s="103">
        <v>0.0</v>
      </c>
      <c r="L15" s="107"/>
      <c r="M15" s="107"/>
      <c r="N15" s="107"/>
      <c r="O15" s="107"/>
    </row>
    <row r="16">
      <c r="A16" s="102" t="s">
        <v>73</v>
      </c>
      <c r="B16" s="98" t="s">
        <v>21</v>
      </c>
      <c r="C16" s="97" t="s">
        <v>43</v>
      </c>
      <c r="D16" s="97" t="s">
        <v>43</v>
      </c>
      <c r="E16" s="97" t="s">
        <v>43</v>
      </c>
      <c r="F16" s="97" t="s">
        <v>43</v>
      </c>
      <c r="G16" s="97" t="s">
        <v>62</v>
      </c>
      <c r="H16" s="97" t="str">
        <f t="shared" si="2"/>
        <v>(5, 7, 9)</v>
      </c>
      <c r="I16" s="103" t="s">
        <v>40</v>
      </c>
      <c r="J16" s="103">
        <v>0.0</v>
      </c>
      <c r="K16" s="103">
        <v>0.6</v>
      </c>
      <c r="L16" s="104">
        <f t="shared" ref="L16:M16" si="4">SUM(J16:J19)</f>
        <v>4.942</v>
      </c>
      <c r="M16" s="104">
        <f t="shared" si="4"/>
        <v>2.355</v>
      </c>
      <c r="N16" s="105">
        <f>M16/(M16+L16)</f>
        <v>0.3227353707</v>
      </c>
      <c r="O16" s="106">
        <v>3.0</v>
      </c>
    </row>
    <row r="17">
      <c r="A17" s="57"/>
      <c r="B17" s="98" t="s">
        <v>22</v>
      </c>
      <c r="C17" s="97" t="s">
        <v>47</v>
      </c>
      <c r="D17" s="97" t="s">
        <v>43</v>
      </c>
      <c r="E17" s="97" t="s">
        <v>43</v>
      </c>
      <c r="F17" s="97" t="s">
        <v>71</v>
      </c>
      <c r="G17" s="97" t="s">
        <v>74</v>
      </c>
      <c r="H17" s="97" t="str">
        <f t="shared" si="2"/>
        <v>(3, 5, 7)</v>
      </c>
      <c r="I17" s="103" t="s">
        <v>75</v>
      </c>
      <c r="J17" s="103">
        <v>0.266</v>
      </c>
      <c r="K17" s="103">
        <v>1.642</v>
      </c>
      <c r="L17" s="57"/>
      <c r="M17" s="57"/>
      <c r="N17" s="57"/>
      <c r="O17" s="57"/>
    </row>
    <row r="18">
      <c r="A18" s="57"/>
      <c r="B18" s="98" t="s">
        <v>23</v>
      </c>
      <c r="C18" s="97" t="s">
        <v>43</v>
      </c>
      <c r="D18" s="97" t="s">
        <v>47</v>
      </c>
      <c r="E18" s="97" t="s">
        <v>43</v>
      </c>
      <c r="F18" s="97" t="s">
        <v>71</v>
      </c>
      <c r="G18" s="97" t="s">
        <v>72</v>
      </c>
      <c r="H18" s="97" t="str">
        <f t="shared" si="2"/>
        <v>(1, 3, 5)</v>
      </c>
      <c r="I18" s="103" t="s">
        <v>49</v>
      </c>
      <c r="J18" s="103">
        <v>1.94</v>
      </c>
      <c r="K18" s="103">
        <v>0.035</v>
      </c>
      <c r="L18" s="57"/>
      <c r="M18" s="57"/>
      <c r="N18" s="57"/>
      <c r="O18" s="57"/>
    </row>
    <row r="19">
      <c r="A19" s="107"/>
      <c r="B19" s="98" t="s">
        <v>24</v>
      </c>
      <c r="C19" s="97" t="s">
        <v>43</v>
      </c>
      <c r="D19" s="97" t="s">
        <v>43</v>
      </c>
      <c r="E19" s="97" t="s">
        <v>43</v>
      </c>
      <c r="F19" s="97" t="s">
        <v>43</v>
      </c>
      <c r="G19" s="97" t="s">
        <v>64</v>
      </c>
      <c r="H19" s="97" t="str">
        <f t="shared" si="2"/>
        <v>(3, 5, 7)</v>
      </c>
      <c r="I19" s="103" t="s">
        <v>66</v>
      </c>
      <c r="J19" s="103">
        <v>2.736</v>
      </c>
      <c r="K19" s="103">
        <v>0.078</v>
      </c>
      <c r="L19" s="107"/>
      <c r="M19" s="107"/>
      <c r="N19" s="107"/>
      <c r="O19" s="107"/>
    </row>
    <row r="20">
      <c r="A20" s="102" t="s">
        <v>76</v>
      </c>
      <c r="B20" s="98" t="s">
        <v>21</v>
      </c>
      <c r="C20" s="97" t="s">
        <v>47</v>
      </c>
      <c r="D20" s="97" t="s">
        <v>47</v>
      </c>
      <c r="E20" s="97" t="s">
        <v>43</v>
      </c>
      <c r="F20" s="97" t="s">
        <v>60</v>
      </c>
      <c r="G20" s="97" t="s">
        <v>61</v>
      </c>
      <c r="H20" s="97" t="str">
        <f t="shared" si="2"/>
        <v>(5, 7, 9)</v>
      </c>
      <c r="I20" s="103" t="s">
        <v>41</v>
      </c>
      <c r="J20" s="103">
        <v>0.6</v>
      </c>
      <c r="K20" s="103">
        <v>0.0</v>
      </c>
      <c r="L20" s="104">
        <f t="shared" ref="L20:M20" si="5">SUM(J20:J23)</f>
        <v>2.81</v>
      </c>
      <c r="M20" s="104">
        <f t="shared" si="5"/>
        <v>4.389</v>
      </c>
      <c r="N20" s="105">
        <f>M20/(M20+L20)</f>
        <v>0.6096680094</v>
      </c>
      <c r="O20" s="106">
        <v>1.0</v>
      </c>
    </row>
    <row r="21">
      <c r="A21" s="57"/>
      <c r="B21" s="98" t="s">
        <v>22</v>
      </c>
      <c r="C21" s="97" t="s">
        <v>43</v>
      </c>
      <c r="D21" s="97" t="s">
        <v>47</v>
      </c>
      <c r="E21" s="97" t="s">
        <v>43</v>
      </c>
      <c r="F21" s="97" t="s">
        <v>71</v>
      </c>
      <c r="G21" s="97" t="s">
        <v>74</v>
      </c>
      <c r="H21" s="97" t="str">
        <f t="shared" si="2"/>
        <v>(3, 5, 7)</v>
      </c>
      <c r="I21" s="103" t="s">
        <v>75</v>
      </c>
      <c r="J21" s="103">
        <v>0.266</v>
      </c>
      <c r="K21" s="103">
        <v>1.642</v>
      </c>
      <c r="L21" s="57"/>
      <c r="M21" s="57"/>
      <c r="N21" s="57"/>
      <c r="O21" s="57"/>
    </row>
    <row r="22">
      <c r="A22" s="57"/>
      <c r="B22" s="98" t="s">
        <v>23</v>
      </c>
      <c r="C22" s="97" t="s">
        <v>43</v>
      </c>
      <c r="D22" s="97" t="s">
        <v>47</v>
      </c>
      <c r="E22" s="97" t="s">
        <v>47</v>
      </c>
      <c r="F22" s="97" t="s">
        <v>60</v>
      </c>
      <c r="G22" s="97" t="s">
        <v>77</v>
      </c>
      <c r="H22" s="97" t="str">
        <f t="shared" si="2"/>
        <v>(1, 3, 5)</v>
      </c>
      <c r="I22" s="103" t="s">
        <v>78</v>
      </c>
      <c r="J22" s="103">
        <v>1.944</v>
      </c>
      <c r="K22" s="103">
        <v>0.0</v>
      </c>
      <c r="L22" s="57"/>
      <c r="M22" s="57"/>
      <c r="N22" s="57"/>
      <c r="O22" s="57"/>
    </row>
    <row r="23">
      <c r="A23" s="107"/>
      <c r="B23" s="98" t="s">
        <v>24</v>
      </c>
      <c r="C23" s="97" t="s">
        <v>39</v>
      </c>
      <c r="D23" s="97" t="s">
        <v>39</v>
      </c>
      <c r="E23" s="97" t="s">
        <v>39</v>
      </c>
      <c r="F23" s="97" t="s">
        <v>39</v>
      </c>
      <c r="G23" s="97" t="s">
        <v>79</v>
      </c>
      <c r="H23" s="97" t="str">
        <f t="shared" si="2"/>
        <v>(3, 5, 7)</v>
      </c>
      <c r="I23" s="103" t="s">
        <v>80</v>
      </c>
      <c r="J23" s="103">
        <v>0.0</v>
      </c>
      <c r="K23" s="103">
        <v>2.747</v>
      </c>
      <c r="L23" s="107"/>
      <c r="M23" s="107"/>
      <c r="N23" s="107"/>
      <c r="O23" s="107"/>
    </row>
    <row r="25">
      <c r="A25" s="108"/>
      <c r="B25" s="108"/>
      <c r="C25" s="108"/>
      <c r="D25" s="108"/>
      <c r="E25" s="108"/>
    </row>
    <row r="26">
      <c r="A26" s="108"/>
      <c r="B26" s="108"/>
      <c r="C26" s="108"/>
      <c r="D26" s="108"/>
      <c r="E26" s="108"/>
    </row>
    <row r="27">
      <c r="A27" s="108"/>
      <c r="B27" s="108"/>
      <c r="C27" s="108"/>
      <c r="D27" s="109"/>
    </row>
    <row r="28">
      <c r="A28" s="108"/>
      <c r="B28" s="108"/>
      <c r="C28" s="109"/>
      <c r="D28" s="108"/>
      <c r="E28" s="108"/>
    </row>
    <row r="29">
      <c r="A29" s="108"/>
      <c r="B29" s="108"/>
      <c r="C29" s="109"/>
      <c r="D29" s="108"/>
      <c r="E29" s="108"/>
    </row>
    <row r="30">
      <c r="A30" s="108"/>
      <c r="B30" s="108"/>
      <c r="C30" s="109"/>
      <c r="D30" s="108"/>
      <c r="E30" s="108"/>
    </row>
    <row r="31">
      <c r="A31" s="108"/>
      <c r="B31" s="108"/>
      <c r="C31" s="109"/>
      <c r="D31" s="108"/>
      <c r="E31" s="108"/>
    </row>
    <row r="32">
      <c r="A32" s="108"/>
      <c r="B32" s="108"/>
      <c r="C32" s="108"/>
      <c r="D32" s="108"/>
      <c r="E32" s="108"/>
    </row>
    <row r="33">
      <c r="A33" s="108"/>
      <c r="B33" s="108"/>
      <c r="C33" s="108"/>
      <c r="D33" s="108"/>
      <c r="E33" s="108"/>
    </row>
    <row r="34">
      <c r="A34" s="108"/>
      <c r="B34" s="108"/>
      <c r="C34" s="108"/>
      <c r="D34" s="108"/>
      <c r="E34" s="108"/>
    </row>
    <row r="35">
      <c r="A35" s="108"/>
      <c r="B35" s="108"/>
      <c r="C35" s="108"/>
      <c r="D35" s="108"/>
      <c r="E35" s="108"/>
    </row>
    <row r="36">
      <c r="A36" s="108"/>
      <c r="B36" s="108"/>
      <c r="C36" s="108"/>
      <c r="D36" s="108"/>
      <c r="E36" s="108"/>
    </row>
    <row r="37">
      <c r="A37" s="108"/>
      <c r="B37" s="108"/>
      <c r="C37" s="108"/>
      <c r="D37" s="108"/>
      <c r="E37" s="108"/>
    </row>
    <row r="38">
      <c r="A38" s="108"/>
      <c r="B38" s="108"/>
      <c r="C38" s="108"/>
      <c r="D38" s="108"/>
      <c r="E38" s="108"/>
    </row>
    <row r="39">
      <c r="A39" s="108"/>
      <c r="B39" s="108"/>
      <c r="C39" s="108"/>
      <c r="D39" s="108"/>
      <c r="E39" s="108"/>
    </row>
    <row r="40">
      <c r="A40" s="108"/>
      <c r="B40" s="108"/>
      <c r="C40" s="108"/>
      <c r="D40" s="108"/>
      <c r="E40" s="108"/>
    </row>
    <row r="41">
      <c r="A41" s="108"/>
      <c r="B41" s="108"/>
      <c r="C41" s="108"/>
      <c r="D41" s="108"/>
      <c r="E41" s="108"/>
    </row>
    <row r="42">
      <c r="A42" s="108"/>
      <c r="B42" s="108"/>
      <c r="C42" s="108"/>
      <c r="D42" s="108"/>
      <c r="E42" s="108"/>
    </row>
    <row r="43">
      <c r="A43" s="108"/>
      <c r="B43" s="108"/>
      <c r="C43" s="108"/>
      <c r="D43" s="108"/>
      <c r="E43" s="108"/>
    </row>
    <row r="44">
      <c r="A44" s="108"/>
      <c r="B44" s="108"/>
      <c r="C44" s="108"/>
      <c r="D44" s="108"/>
      <c r="E44" s="108"/>
    </row>
    <row r="45">
      <c r="A45" s="108"/>
      <c r="B45" s="108"/>
      <c r="C45" s="108"/>
      <c r="D45" s="108"/>
      <c r="E45" s="108"/>
    </row>
    <row r="46">
      <c r="A46" s="108"/>
      <c r="B46" s="108"/>
      <c r="C46" s="108"/>
      <c r="D46" s="108"/>
      <c r="E46" s="108"/>
    </row>
    <row r="47">
      <c r="A47" s="108"/>
      <c r="B47" s="108"/>
      <c r="C47" s="108"/>
      <c r="D47" s="108"/>
      <c r="E47" s="108"/>
    </row>
    <row r="48">
      <c r="A48" s="108"/>
      <c r="B48" s="108"/>
      <c r="C48" s="108"/>
      <c r="D48" s="108"/>
      <c r="E48" s="108"/>
    </row>
    <row r="49">
      <c r="A49" s="108"/>
      <c r="B49" s="108"/>
      <c r="C49" s="108"/>
      <c r="D49" s="108"/>
      <c r="E49" s="108"/>
    </row>
    <row r="50">
      <c r="A50" s="108"/>
      <c r="B50" s="108"/>
      <c r="C50" s="108"/>
      <c r="D50" s="108"/>
      <c r="E50" s="108"/>
    </row>
    <row r="51">
      <c r="A51" s="108"/>
      <c r="B51" s="108"/>
      <c r="C51" s="108"/>
      <c r="D51" s="108"/>
      <c r="E51" s="108"/>
    </row>
    <row r="52">
      <c r="A52" s="108"/>
      <c r="B52" s="108"/>
      <c r="C52" s="108"/>
      <c r="D52" s="108"/>
      <c r="E52" s="108"/>
    </row>
  </sheetData>
  <mergeCells count="21">
    <mergeCell ref="A12:A15"/>
    <mergeCell ref="A16:A19"/>
    <mergeCell ref="A20:A23"/>
    <mergeCell ref="A8:A11"/>
    <mergeCell ref="L8:L11"/>
    <mergeCell ref="M8:M11"/>
    <mergeCell ref="N8:N11"/>
    <mergeCell ref="O8:O11"/>
    <mergeCell ref="L12:L15"/>
    <mergeCell ref="O12:O15"/>
    <mergeCell ref="M20:M23"/>
    <mergeCell ref="N20:N23"/>
    <mergeCell ref="D27:F27"/>
    <mergeCell ref="M12:M15"/>
    <mergeCell ref="N12:N15"/>
    <mergeCell ref="L16:L19"/>
    <mergeCell ref="M16:M19"/>
    <mergeCell ref="N16:N19"/>
    <mergeCell ref="O16:O19"/>
    <mergeCell ref="L20:L23"/>
    <mergeCell ref="O20:O23"/>
  </mergeCells>
  <drawing r:id="rId1"/>
</worksheet>
</file>